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seniya.kuznetsova\Desktop\Сметы_для\"/>
    </mc:Choice>
  </mc:AlternateContent>
  <bookViews>
    <workbookView xWindow="0" yWindow="0" windowWidth="28800" windowHeight="13130" tabRatio="919"/>
  </bookViews>
  <sheets>
    <sheet name="№1 ИГДИ" sheetId="35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\AUTOEXEC">#REF!</definedName>
    <definedName name="\k">#REF!</definedName>
    <definedName name="\m">#REF!</definedName>
    <definedName name="\s">#REF!</definedName>
    <definedName name="\z">#REF!</definedName>
    <definedName name="__xlfn.BAHTTEXT" hidden="1">#NAME?</definedName>
    <definedName name="_xlnm._FilterDatabase" localSheetId="0" hidden="1">#REF!</definedName>
    <definedName name="_xlnm._FilterDatabase" hidden="1">#REF!</definedName>
    <definedName name="a">#REF!</definedName>
    <definedName name="asd">[1]топография!#REF!</definedName>
    <definedName name="dck">[2]топография!#REF!</definedName>
    <definedName name="ger">[1]топография!#REF!</definedName>
    <definedName name="Itog">#REF!</definedName>
    <definedName name="SM">#REF!</definedName>
    <definedName name="SM_SM">#REF!</definedName>
    <definedName name="SM_STO">#REF!</definedName>
    <definedName name="SM_STO1">#REF!</definedName>
    <definedName name="SM_STO2">#REF!</definedName>
    <definedName name="SM_STO3">#REF!</definedName>
    <definedName name="SM_STO4">#REF!</definedName>
    <definedName name="SUM_">#REF!</definedName>
    <definedName name="SUM_1">#REF!</definedName>
    <definedName name="SUM_3">#REF!</definedName>
    <definedName name="ZAK1">#REF!</definedName>
    <definedName name="ZAK2">#REF!</definedName>
    <definedName name="а">#REF!</definedName>
    <definedName name="а36">#REF!</definedName>
    <definedName name="в">#REF!</definedName>
    <definedName name="Всего_по_смете">#REF!</definedName>
    <definedName name="Вспомогательные_работы">#REF!</definedName>
    <definedName name="вукепр">#REF!</definedName>
    <definedName name="дбшл">[3]топография!#REF!</definedName>
    <definedName name="длор">#REF!</definedName>
    <definedName name="ДСК">[1]топография!#REF!</definedName>
    <definedName name="дьог">#REF!</definedName>
    <definedName name="ждл">[1]топография!#REF!</definedName>
    <definedName name="жщдбюд">#REF!</definedName>
    <definedName name="Зависимые">#REF!</definedName>
    <definedName name="Итого_по_разделу_V">#REF!</definedName>
    <definedName name="Итого_по_смете">#REF!</definedName>
    <definedName name="калплан">#REF!</definedName>
    <definedName name="Камеральных">#REF!</definedName>
    <definedName name="КП23" localSheetId="0" hidden="1">#REF!</definedName>
    <definedName name="КП23" hidden="1">#REF!</definedName>
    <definedName name="Курс_доллара">'[4]Курс доллара'!$A$2</definedName>
    <definedName name="л">#REF!</definedName>
    <definedName name="лгоь">#REF!</definedName>
    <definedName name="лор">[5]топография!#REF!</definedName>
    <definedName name="лорп">#REF!</definedName>
    <definedName name="льб">#REF!</definedName>
    <definedName name="льогнрт">#REF!</definedName>
    <definedName name="о">#REF!</definedName>
    <definedName name="_xlnm.Print_Area" localSheetId="0">'№1 ИГДИ'!$A$1:$K$44</definedName>
    <definedName name="п">#REF!</definedName>
    <definedName name="план">[1]топография!#REF!</definedName>
    <definedName name="Полевые">#REF!</definedName>
    <definedName name="полее">#REF!</definedName>
    <definedName name="про">#REF!</definedName>
    <definedName name="пробная">#REF!</definedName>
    <definedName name="Прочие_работы">#REF!</definedName>
    <definedName name="рол">#REF!</definedName>
    <definedName name="свод1">[3]топография!#REF!</definedName>
    <definedName name="Тип">[6]Лист2!$B$1:$B$4</definedName>
    <definedName name="ф">#REF!</definedName>
    <definedName name="ы">[3]топография!#REF!</definedName>
    <definedName name="ыф">#REF!</definedName>
    <definedName name="эхзжю">[1]топография!#REF!</definedName>
    <definedName name="ю">[3]топография!#REF!</definedName>
    <definedName name="юб">#REF!</definedName>
    <definedName name="я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7" i="35" l="1"/>
  <c r="E32" i="35"/>
  <c r="K32" i="35" s="1"/>
  <c r="K24" i="35" l="1"/>
  <c r="K26" i="35" l="1"/>
  <c r="K25" i="35"/>
  <c r="K21" i="35"/>
  <c r="K20" i="35"/>
  <c r="K19" i="35" l="1"/>
  <c r="K22" i="35" s="1"/>
  <c r="E31" i="35" l="1"/>
  <c r="K31" i="35" s="1"/>
  <c r="K27" i="35"/>
  <c r="E34" i="35" l="1"/>
  <c r="E33" i="35"/>
  <c r="K28" i="35"/>
  <c r="K33" i="35" s="1"/>
  <c r="K34" i="35"/>
  <c r="E36" i="35" l="1"/>
  <c r="K36" i="35" s="1"/>
  <c r="E35" i="35"/>
  <c r="K35" i="35"/>
  <c r="K37" i="35" l="1"/>
  <c r="K38" i="35" s="1"/>
  <c r="K39" i="35" s="1"/>
  <c r="K40" i="35" s="1"/>
  <c r="K41" i="35" s="1"/>
</calcChain>
</file>

<file path=xl/sharedStrings.xml><?xml version="1.0" encoding="utf-8"?>
<sst xmlns="http://schemas.openxmlformats.org/spreadsheetml/2006/main" count="121" uniqueCount="73">
  <si>
    <t>на   изыскательские  работы</t>
  </si>
  <si>
    <t>(вид изыскательских работ)</t>
  </si>
  <si>
    <t>Наименование строительства и стадии проектирования:</t>
  </si>
  <si>
    <t>Наименование организации подрядчика:</t>
  </si>
  <si>
    <t>Наименование организации заказчика:</t>
  </si>
  <si>
    <t>Смета составлена по следующим документам:</t>
  </si>
  <si>
    <t>№
п/п</t>
  </si>
  <si>
    <t>Наименование работ и затрат</t>
  </si>
  <si>
    <t>Единица изме-рения</t>
  </si>
  <si>
    <t>Кол-во
(физ. объём)</t>
  </si>
  <si>
    <t>К1</t>
  </si>
  <si>
    <t>К2</t>
  </si>
  <si>
    <t>К3</t>
  </si>
  <si>
    <t>1. Полевые работы</t>
  </si>
  <si>
    <t>-</t>
  </si>
  <si>
    <t>Итого полевых работ:</t>
  </si>
  <si>
    <t>Удорожание полевых работ за счет сезонного коэффициента</t>
  </si>
  <si>
    <t>Расходы на организацию и ликвидацию полевых работ</t>
  </si>
  <si>
    <t>Итого прочих расходов:</t>
  </si>
  <si>
    <t>Итого камеральных работ:</t>
  </si>
  <si>
    <t>Инженерно-геодезические изыскания</t>
  </si>
  <si>
    <t>СБЦ на ИГДИ для строительства, 2004 г.</t>
  </si>
  <si>
    <t>Цена</t>
  </si>
  <si>
    <t>Расчёт стоимости /коэф-ты к цене</t>
  </si>
  <si>
    <t>СМЕТА № 1</t>
  </si>
  <si>
    <t>Обоснование стоимости (цена и коэф-ты)</t>
  </si>
  <si>
    <t>Выдача промежуточных материалов изысканий</t>
  </si>
  <si>
    <t>га</t>
  </si>
  <si>
    <t>Всего по смете в ценах СБЦ на 2001 г.</t>
  </si>
  <si>
    <t>%</t>
  </si>
  <si>
    <t>2. Камеральные работы</t>
  </si>
  <si>
    <r>
      <t xml:space="preserve">3. Прочие расходы
</t>
    </r>
    <r>
      <rPr>
        <sz val="10"/>
        <rFont val="Times New Roman"/>
        <family val="1"/>
        <charset val="204"/>
      </rPr>
      <t>(применяются к полевым и выполняемым в экспедиционных условиях камеральным работам)</t>
    </r>
  </si>
  <si>
    <t>п. 15 а, ОУ</t>
  </si>
  <si>
    <t>Итого по смете, с учетом индекса  изменения сметной стоимости изыскательских работ</t>
  </si>
  <si>
    <t>пункт</t>
  </si>
  <si>
    <t>Катег. сл-ти</t>
  </si>
  <si>
    <t>Стоимость,
руб., коп. без НДС</t>
  </si>
  <si>
    <t>Процент</t>
  </si>
  <si>
    <t>Стоимость работ, без НДС</t>
  </si>
  <si>
    <t>Расчёт стоимости /
коэф-ты к цене</t>
  </si>
  <si>
    <t>Стоимость прочих расходов, без НДС</t>
  </si>
  <si>
    <t>п.13 ОУ</t>
  </si>
  <si>
    <t>Составил ______________________</t>
  </si>
  <si>
    <t>Утвердил_______________________</t>
  </si>
  <si>
    <t>т.81, п. 2, п. 3</t>
  </si>
  <si>
    <t>Выдача координат и высот исходных пунктов</t>
  </si>
  <si>
    <t>ООО "ИТПИ"</t>
  </si>
  <si>
    <t>Итого по смете, с учетом договорного коэффициента</t>
  </si>
  <si>
    <t>Примечание к шаблону: 
1. При отсутствии необходимости применения коэффициента (=1.0), данному значению следует присвоить цвет шрифта "белый", для исключения его отображения при печати.</t>
  </si>
  <si>
    <t>т. 5 п. 6</t>
  </si>
  <si>
    <t>II кат.</t>
  </si>
  <si>
    <t xml:space="preserve">т. 8, п. 3 </t>
  </si>
  <si>
    <t xml:space="preserve">Создание высотной опорной геодезической сети с использованием спутниковых систем IV класса </t>
  </si>
  <si>
    <t xml:space="preserve">т. 8, п. 4 </t>
  </si>
  <si>
    <t>IIкат.</t>
  </si>
  <si>
    <t>т. 8, п. 4</t>
  </si>
  <si>
    <t xml:space="preserve">Создание высотной опорной геодезической сети; IV класс </t>
  </si>
  <si>
    <t>т. 3, п. 6 д ОУ</t>
  </si>
  <si>
    <t>т. 4, п. 8</t>
  </si>
  <si>
    <t>Удорожание полевых работ за счет районного коэффициента в условиях Крайнего Севера</t>
  </si>
  <si>
    <t>Создание инженерно-топографического плана м-ба 1:2000, высота сечения рельефа 2,0м (II кат., незастроенная территория)</t>
  </si>
  <si>
    <t>т. 9, п. 23</t>
  </si>
  <si>
    <t>Создание плановой опорной геодезической сети; 1 разряд с применением спутниковых систем</t>
  </si>
  <si>
    <t xml:space="preserve">т. 8, п. 2, прим. 2 </t>
  </si>
  <si>
    <t>Создание инженерно-топографического плана м-ба 1:2000 сечение рельефа 2,0 (территория незастроенная, IIкат. (составление плана в цвете с применением компьютерных технологий)</t>
  </si>
  <si>
    <t>т. 9, п. 23, ОУ 15г, 15д</t>
  </si>
  <si>
    <t xml:space="preserve">Создание плановой опорной геодезической сети с использованием спутниковых систем 1 разряда  </t>
  </si>
  <si>
    <t>Удорожание полевых работ при выполнении изысканий в горных и высокогорных районах</t>
  </si>
  <si>
    <t>т. 2, п. 9 ОУ</t>
  </si>
  <si>
    <t>т. 1, п. 1 ОУ</t>
  </si>
  <si>
    <t>Расходы по внутреннему транспорту (Расстояние от базы - до 5 км)</t>
  </si>
  <si>
    <t>Расходы по внешнему транспорту (расстояние проезда - св. 2000 км). 2 мес.</t>
  </si>
  <si>
    <t>Письмо Минстроя России от 21.04.2025 N 23229-ИФ/09 на 2 квартал 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</si>
</sst>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.00_р_._-;\-* #,##0.00_р_._-;_-* &quot;-&quot;??_р_._-;_-@_-"/>
    <numFmt numFmtId="165" formatCode="0.0"/>
  </numFmts>
  <fonts count="24" x14ac:knownFonts="1"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0"/>
      <name val="Courier"/>
      <family val="3"/>
    </font>
    <font>
      <sz val="8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Arial"/>
      <family val="2"/>
      <charset val="204"/>
    </font>
    <font>
      <sz val="10"/>
      <color rgb="FF0000FF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color theme="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0"/>
      <color theme="1"/>
      <name val="Times New Roman"/>
      <family val="1"/>
    </font>
    <font>
      <sz val="10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8">
    <xf numFmtId="0" fontId="0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4" fillId="0" borderId="0"/>
    <xf numFmtId="0" fontId="4" fillId="0" borderId="0"/>
    <xf numFmtId="0" fontId="16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3" fontId="15" fillId="0" borderId="0" applyFont="0" applyFill="0" applyBorder="0" applyAlignment="0" applyProtection="0"/>
    <xf numFmtId="0" fontId="11" fillId="0" borderId="0"/>
    <xf numFmtId="0" fontId="18" fillId="0" borderId="0"/>
    <xf numFmtId="0" fontId="19" fillId="0" borderId="0">
      <alignment horizontal="center" vertical="center"/>
    </xf>
    <xf numFmtId="0" fontId="19" fillId="0" borderId="0">
      <alignment horizontal="left" vertical="center"/>
    </xf>
    <xf numFmtId="0" fontId="2" fillId="0" borderId="0"/>
    <xf numFmtId="164" fontId="1" fillId="0" borderId="0" applyFont="0" applyFill="0" applyBorder="0" applyAlignment="0" applyProtection="0"/>
    <xf numFmtId="0" fontId="22" fillId="0" borderId="14">
      <alignment horizontal="center" vertical="center"/>
    </xf>
    <xf numFmtId="0" fontId="22" fillId="0" borderId="15">
      <alignment horizontal="center" vertical="center"/>
    </xf>
    <xf numFmtId="0" fontId="23" fillId="0" borderId="14">
      <alignment horizontal="center" vertical="center"/>
    </xf>
    <xf numFmtId="0" fontId="22" fillId="0" borderId="14">
      <alignment horizontal="left" vertical="center"/>
    </xf>
    <xf numFmtId="0" fontId="22" fillId="0" borderId="15">
      <alignment horizontal="left" vertical="center"/>
    </xf>
    <xf numFmtId="0" fontId="22" fillId="0" borderId="0">
      <alignment horizontal="left" vertical="top"/>
    </xf>
    <xf numFmtId="0" fontId="4" fillId="0" borderId="0"/>
  </cellStyleXfs>
  <cellXfs count="87">
    <xf numFmtId="0" fontId="0" fillId="0" borderId="0" xfId="0"/>
    <xf numFmtId="0" fontId="7" fillId="2" borderId="0" xfId="2" applyFont="1" applyFill="1" applyAlignment="1" applyProtection="1">
      <alignment horizontal="left"/>
      <protection locked="0"/>
    </xf>
    <xf numFmtId="0" fontId="7" fillId="2" borderId="0" xfId="2" applyFont="1" applyFill="1"/>
    <xf numFmtId="0" fontId="6" fillId="2" borderId="0" xfId="2" applyFont="1" applyFill="1"/>
    <xf numFmtId="2" fontId="6" fillId="2" borderId="0" xfId="2" applyNumberFormat="1" applyFont="1" applyFill="1"/>
    <xf numFmtId="0" fontId="0" fillId="2" borderId="0" xfId="0" applyFill="1"/>
    <xf numFmtId="0" fontId="6" fillId="2" borderId="0" xfId="2" applyFont="1" applyFill="1" applyProtection="1">
      <protection locked="0"/>
    </xf>
    <xf numFmtId="0" fontId="6" fillId="2" borderId="0" xfId="2" applyFont="1" applyFill="1" applyAlignment="1" applyProtection="1">
      <alignment horizontal="center"/>
      <protection locked="0"/>
    </xf>
    <xf numFmtId="0" fontId="5" fillId="2" borderId="0" xfId="3" applyFont="1" applyFill="1" applyAlignment="1" applyProtection="1">
      <alignment vertical="top"/>
      <protection hidden="1"/>
    </xf>
    <xf numFmtId="0" fontId="6" fillId="2" borderId="0" xfId="3" applyFont="1" applyFill="1" applyAlignment="1">
      <alignment vertical="top"/>
    </xf>
    <xf numFmtId="0" fontId="9" fillId="2" borderId="0" xfId="3" applyFont="1" applyFill="1" applyAlignment="1">
      <alignment horizontal="center" vertical="top"/>
    </xf>
    <xf numFmtId="1" fontId="6" fillId="2" borderId="0" xfId="3" applyNumberFormat="1" applyFont="1" applyFill="1" applyAlignment="1">
      <alignment vertical="top"/>
    </xf>
    <xf numFmtId="0" fontId="6" fillId="2" borderId="0" xfId="2" applyFont="1" applyFill="1" applyAlignment="1">
      <alignment horizontal="left"/>
    </xf>
    <xf numFmtId="49" fontId="11" fillId="2" borderId="0" xfId="0" applyNumberFormat="1" applyFont="1" applyFill="1" applyAlignment="1">
      <alignment wrapText="1"/>
    </xf>
    <xf numFmtId="0" fontId="6" fillId="2" borderId="0" xfId="4" applyFont="1" applyFill="1" applyAlignment="1">
      <alignment vertical="top"/>
    </xf>
    <xf numFmtId="0" fontId="6" fillId="2" borderId="2" xfId="2" applyFont="1" applyFill="1" applyBorder="1" applyProtection="1">
      <protection locked="0"/>
    </xf>
    <xf numFmtId="0" fontId="5" fillId="2" borderId="2" xfId="4" applyFont="1" applyFill="1" applyBorder="1" applyAlignment="1">
      <alignment horizontal="right"/>
    </xf>
    <xf numFmtId="0" fontId="6" fillId="2" borderId="2" xfId="4" applyFont="1" applyFill="1" applyBorder="1"/>
    <xf numFmtId="2" fontId="6" fillId="2" borderId="2" xfId="4" applyNumberFormat="1" applyFont="1" applyFill="1" applyBorder="1"/>
    <xf numFmtId="165" fontId="6" fillId="2" borderId="2" xfId="4" applyNumberFormat="1" applyFont="1" applyFill="1" applyBorder="1"/>
    <xf numFmtId="1" fontId="6" fillId="2" borderId="2" xfId="4" applyNumberFormat="1" applyFont="1" applyFill="1" applyBorder="1"/>
    <xf numFmtId="165" fontId="5" fillId="2" borderId="1" xfId="4" applyNumberFormat="1" applyFont="1" applyFill="1" applyBorder="1" applyAlignment="1">
      <alignment horizontal="center" vertical="center" wrapText="1"/>
    </xf>
    <xf numFmtId="0" fontId="5" fillId="2" borderId="5" xfId="4" applyFont="1" applyFill="1" applyBorder="1" applyAlignment="1">
      <alignment horizontal="center" vertical="center"/>
    </xf>
    <xf numFmtId="0" fontId="5" fillId="2" borderId="6" xfId="4" applyFont="1" applyFill="1" applyBorder="1" applyAlignment="1">
      <alignment horizontal="center" vertical="center"/>
    </xf>
    <xf numFmtId="0" fontId="6" fillId="2" borderId="1" xfId="4" applyFont="1" applyFill="1" applyBorder="1" applyAlignment="1" applyProtection="1">
      <alignment horizontal="center" vertical="center"/>
      <protection hidden="1"/>
    </xf>
    <xf numFmtId="0" fontId="6" fillId="2" borderId="1" xfId="3" quotePrefix="1" applyFont="1" applyFill="1" applyBorder="1" applyAlignment="1">
      <alignment horizontal="left" vertical="center" wrapText="1"/>
    </xf>
    <xf numFmtId="2" fontId="6" fillId="2" borderId="1" xfId="3" applyNumberFormat="1" applyFont="1" applyFill="1" applyBorder="1" applyAlignment="1">
      <alignment horizontal="center" vertical="center"/>
    </xf>
    <xf numFmtId="1" fontId="6" fillId="2" borderId="1" xfId="3" applyNumberFormat="1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left" vertical="center" wrapText="1"/>
    </xf>
    <xf numFmtId="2" fontId="6" fillId="2" borderId="1" xfId="5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 applyProtection="1">
      <alignment horizontal="center" vertical="center"/>
      <protection hidden="1"/>
    </xf>
    <xf numFmtId="0" fontId="5" fillId="2" borderId="1" xfId="3" applyFont="1" applyFill="1" applyBorder="1" applyAlignment="1">
      <alignment horizontal="left" vertical="center"/>
    </xf>
    <xf numFmtId="2" fontId="5" fillId="2" borderId="1" xfId="5" applyNumberFormat="1" applyFont="1" applyFill="1" applyBorder="1" applyAlignment="1">
      <alignment horizontal="center" vertical="center"/>
    </xf>
    <xf numFmtId="0" fontId="6" fillId="2" borderId="1" xfId="3" applyFont="1" applyFill="1" applyBorder="1" applyAlignment="1" applyProtection="1">
      <alignment horizontal="center" vertical="center"/>
      <protection hidden="1"/>
    </xf>
    <xf numFmtId="0" fontId="7" fillId="2" borderId="1" xfId="3" applyFont="1" applyFill="1" applyBorder="1" applyAlignment="1" applyProtection="1">
      <alignment horizontal="center" vertical="center" wrapText="1"/>
      <protection hidden="1"/>
    </xf>
    <xf numFmtId="0" fontId="7" fillId="2" borderId="1" xfId="3" applyFont="1" applyFill="1" applyBorder="1" applyAlignment="1" applyProtection="1">
      <alignment horizontal="center" vertical="center"/>
      <protection hidden="1"/>
    </xf>
    <xf numFmtId="0" fontId="6" fillId="2" borderId="1" xfId="3" quotePrefix="1" applyFont="1" applyFill="1" applyBorder="1" applyAlignment="1">
      <alignment horizontal="center" vertical="center" wrapText="1"/>
    </xf>
    <xf numFmtId="2" fontId="17" fillId="2" borderId="1" xfId="3" applyNumberFormat="1" applyFont="1" applyFill="1" applyBorder="1" applyAlignment="1">
      <alignment horizontal="center" vertical="center"/>
    </xf>
    <xf numFmtId="2" fontId="6" fillId="2" borderId="14" xfId="5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center" vertical="center"/>
    </xf>
    <xf numFmtId="2" fontId="12" fillId="2" borderId="1" xfId="3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4" fontId="5" fillId="2" borderId="1" xfId="5" applyNumberFormat="1" applyFont="1" applyFill="1" applyBorder="1" applyAlignment="1">
      <alignment horizontal="center" vertical="center"/>
    </xf>
    <xf numFmtId="0" fontId="5" fillId="2" borderId="14" xfId="5" applyFont="1" applyFill="1" applyBorder="1" applyAlignment="1">
      <alignment horizontal="left" vertical="center" wrapText="1"/>
    </xf>
    <xf numFmtId="1" fontId="6" fillId="2" borderId="14" xfId="5" applyNumberFormat="1" applyFont="1" applyFill="1" applyBorder="1" applyAlignment="1">
      <alignment horizontal="center" vertical="center"/>
    </xf>
    <xf numFmtId="0" fontId="6" fillId="2" borderId="14" xfId="5" applyFont="1" applyFill="1" applyBorder="1" applyAlignment="1">
      <alignment horizontal="left" vertical="center" wrapText="1"/>
    </xf>
    <xf numFmtId="0" fontId="5" fillId="2" borderId="0" xfId="4" applyFont="1" applyFill="1" applyAlignment="1" applyProtection="1">
      <alignment horizontal="right" vertical="top"/>
      <protection hidden="1"/>
    </xf>
    <xf numFmtId="165" fontId="6" fillId="2" borderId="0" xfId="4" applyNumberFormat="1" applyFont="1" applyFill="1" applyAlignment="1">
      <alignment vertical="top"/>
    </xf>
    <xf numFmtId="4" fontId="5" fillId="2" borderId="0" xfId="4" applyNumberFormat="1" applyFont="1" applyFill="1" applyAlignment="1">
      <alignment vertical="top"/>
    </xf>
    <xf numFmtId="49" fontId="11" fillId="2" borderId="0" xfId="0" applyNumberFormat="1" applyFont="1" applyFill="1" applyAlignment="1">
      <alignment vertical="top" wrapText="1"/>
    </xf>
    <xf numFmtId="0" fontId="6" fillId="2" borderId="14" xfId="3" quotePrefix="1" applyFont="1" applyFill="1" applyBorder="1" applyAlignment="1">
      <alignment horizontal="left" vertical="center" wrapText="1"/>
    </xf>
    <xf numFmtId="2" fontId="6" fillId="2" borderId="14" xfId="3" applyNumberFormat="1" applyFont="1" applyFill="1" applyBorder="1" applyAlignment="1">
      <alignment horizontal="center" vertical="center"/>
    </xf>
    <xf numFmtId="0" fontId="6" fillId="2" borderId="14" xfId="3" applyFont="1" applyFill="1" applyBorder="1" applyAlignment="1">
      <alignment horizontal="left" vertical="center" wrapText="1"/>
    </xf>
    <xf numFmtId="0" fontId="6" fillId="2" borderId="14" xfId="3" quotePrefix="1" applyFont="1" applyFill="1" applyBorder="1" applyAlignment="1">
      <alignment horizontal="center" vertical="center" wrapText="1"/>
    </xf>
    <xf numFmtId="0" fontId="6" fillId="2" borderId="14" xfId="3" applyFont="1" applyFill="1" applyBorder="1" applyAlignment="1" applyProtection="1">
      <alignment horizontal="center" vertical="center"/>
      <protection hidden="1"/>
    </xf>
    <xf numFmtId="49" fontId="11" fillId="2" borderId="0" xfId="0" applyNumberFormat="1" applyFont="1" applyFill="1" applyAlignment="1">
      <alignment horizontal="left" vertical="top" wrapText="1"/>
    </xf>
    <xf numFmtId="49" fontId="11" fillId="2" borderId="0" xfId="0" applyNumberFormat="1" applyFont="1" applyFill="1" applyAlignment="1">
      <alignment horizontal="center" vertical="center" wrapText="1"/>
    </xf>
    <xf numFmtId="0" fontId="7" fillId="2" borderId="10" xfId="3" applyFont="1" applyFill="1" applyBorder="1" applyAlignment="1" applyProtection="1">
      <alignment horizontal="center" vertical="center"/>
      <protection hidden="1"/>
    </xf>
    <xf numFmtId="0" fontId="7" fillId="2" borderId="12" xfId="3" applyFont="1" applyFill="1" applyBorder="1" applyAlignment="1" applyProtection="1">
      <alignment horizontal="center" vertical="center"/>
      <protection hidden="1"/>
    </xf>
    <xf numFmtId="0" fontId="7" fillId="2" borderId="10" xfId="3" applyFont="1" applyFill="1" applyBorder="1" applyAlignment="1" applyProtection="1">
      <alignment horizontal="center" vertical="center" wrapText="1"/>
      <protection hidden="1"/>
    </xf>
    <xf numFmtId="0" fontId="7" fillId="2" borderId="11" xfId="3" applyFont="1" applyFill="1" applyBorder="1" applyAlignment="1" applyProtection="1">
      <alignment horizontal="center" vertical="center" wrapText="1"/>
      <protection hidden="1"/>
    </xf>
    <xf numFmtId="0" fontId="7" fillId="2" borderId="12" xfId="3" applyFont="1" applyFill="1" applyBorder="1" applyAlignment="1" applyProtection="1">
      <alignment horizontal="center" vertical="center" wrapText="1"/>
      <protection hidden="1"/>
    </xf>
    <xf numFmtId="0" fontId="7" fillId="2" borderId="1" xfId="3" applyFont="1" applyFill="1" applyBorder="1" applyAlignment="1" applyProtection="1">
      <alignment horizontal="center" vertical="center" wrapText="1"/>
      <protection hidden="1"/>
    </xf>
    <xf numFmtId="0" fontId="7" fillId="2" borderId="1" xfId="3" applyFont="1" applyFill="1" applyBorder="1" applyAlignment="1" applyProtection="1">
      <alignment horizontal="center" vertical="center"/>
      <protection hidden="1"/>
    </xf>
    <xf numFmtId="0" fontId="6" fillId="2" borderId="0" xfId="2" applyFont="1" applyFill="1" applyAlignment="1">
      <alignment horizontal="center"/>
    </xf>
    <xf numFmtId="0" fontId="7" fillId="2" borderId="2" xfId="2" applyFont="1" applyFill="1" applyBorder="1" applyAlignment="1">
      <alignment horizontal="left"/>
    </xf>
    <xf numFmtId="0" fontId="6" fillId="2" borderId="0" xfId="2" applyFont="1" applyFill="1" applyAlignment="1">
      <alignment horizontal="left" wrapText="1"/>
    </xf>
    <xf numFmtId="0" fontId="6" fillId="2" borderId="0" xfId="2" applyFont="1" applyFill="1" applyAlignment="1">
      <alignment horizontal="left"/>
    </xf>
    <xf numFmtId="0" fontId="5" fillId="2" borderId="4" xfId="4" applyFont="1" applyFill="1" applyBorder="1" applyAlignment="1">
      <alignment horizontal="center" vertical="center" wrapText="1"/>
    </xf>
    <xf numFmtId="0" fontId="5" fillId="2" borderId="1" xfId="4" applyFont="1" applyFill="1" applyBorder="1" applyAlignment="1">
      <alignment horizontal="center" vertical="center" wrapText="1"/>
    </xf>
    <xf numFmtId="0" fontId="5" fillId="2" borderId="13" xfId="4" applyFont="1" applyFill="1" applyBorder="1" applyAlignment="1">
      <alignment horizontal="center" vertical="center" wrapText="1"/>
    </xf>
    <xf numFmtId="2" fontId="5" fillId="2" borderId="4" xfId="4" applyNumberFormat="1" applyFont="1" applyFill="1" applyBorder="1" applyAlignment="1">
      <alignment horizontal="center" vertical="center" wrapText="1"/>
    </xf>
    <xf numFmtId="2" fontId="5" fillId="2" borderId="1" xfId="4" applyNumberFormat="1" applyFont="1" applyFill="1" applyBorder="1" applyAlignment="1">
      <alignment horizontal="center" vertical="center" wrapText="1"/>
    </xf>
    <xf numFmtId="165" fontId="5" fillId="2" borderId="4" xfId="4" applyNumberFormat="1" applyFont="1" applyFill="1" applyBorder="1" applyAlignment="1">
      <alignment horizontal="center" vertical="center" wrapText="1"/>
    </xf>
    <xf numFmtId="165" fontId="5" fillId="2" borderId="1" xfId="4" applyNumberFormat="1" applyFont="1" applyFill="1" applyBorder="1" applyAlignment="1">
      <alignment horizontal="center" vertical="center" wrapText="1"/>
    </xf>
    <xf numFmtId="1" fontId="5" fillId="2" borderId="4" xfId="4" applyNumberFormat="1" applyFont="1" applyFill="1" applyBorder="1" applyAlignment="1">
      <alignment horizontal="center" vertical="center" wrapText="1"/>
    </xf>
    <xf numFmtId="1" fontId="5" fillId="2" borderId="1" xfId="4" applyNumberFormat="1" applyFont="1" applyFill="1" applyBorder="1" applyAlignment="1">
      <alignment horizontal="center" vertical="center" wrapText="1"/>
    </xf>
    <xf numFmtId="0" fontId="7" fillId="2" borderId="7" xfId="3" applyFont="1" applyFill="1" applyBorder="1" applyAlignment="1" applyProtection="1">
      <alignment horizontal="center" vertical="center"/>
      <protection hidden="1"/>
    </xf>
    <xf numFmtId="0" fontId="7" fillId="2" borderId="8" xfId="3" applyFont="1" applyFill="1" applyBorder="1" applyAlignment="1" applyProtection="1">
      <alignment horizontal="center" vertical="center"/>
      <protection hidden="1"/>
    </xf>
    <xf numFmtId="0" fontId="7" fillId="2" borderId="9" xfId="3" applyFont="1" applyFill="1" applyBorder="1" applyAlignment="1" applyProtection="1">
      <alignment horizontal="center" vertical="center"/>
      <protection hidden="1"/>
    </xf>
    <xf numFmtId="0" fontId="5" fillId="2" borderId="0" xfId="2" applyFont="1" applyFill="1" applyAlignment="1">
      <alignment horizontal="center" vertical="center"/>
    </xf>
    <xf numFmtId="0" fontId="9" fillId="2" borderId="3" xfId="3" applyFont="1" applyFill="1" applyBorder="1" applyAlignment="1">
      <alignment horizontal="center" vertical="top"/>
    </xf>
    <xf numFmtId="0" fontId="9" fillId="2" borderId="0" xfId="3" applyFont="1" applyFill="1" applyAlignment="1">
      <alignment horizontal="center" vertical="top"/>
    </xf>
    <xf numFmtId="0" fontId="6" fillId="2" borderId="0" xfId="2" applyFont="1" applyFill="1" applyAlignment="1">
      <alignment horizontal="center" wrapText="1"/>
    </xf>
    <xf numFmtId="0" fontId="10" fillId="2" borderId="2" xfId="2" applyFont="1" applyFill="1" applyBorder="1" applyAlignment="1" applyProtection="1">
      <alignment horizontal="left" wrapText="1"/>
      <protection locked="0"/>
    </xf>
  </cellXfs>
  <cellStyles count="28">
    <cellStyle name="Excel Built-in Normal" xfId="10"/>
    <cellStyle name="S10" xfId="18"/>
    <cellStyle name="S11" xfId="17"/>
    <cellStyle name="S14" xfId="22"/>
    <cellStyle name="S15" xfId="25"/>
    <cellStyle name="S3" xfId="26"/>
    <cellStyle name="S7" xfId="21"/>
    <cellStyle name="S8" xfId="23"/>
    <cellStyle name="S9" xfId="24"/>
    <cellStyle name="Обычный" xfId="0" builtinId="0"/>
    <cellStyle name="Обычный 10" xfId="4"/>
    <cellStyle name="Обычный 10 2" xfId="8"/>
    <cellStyle name="Обычный 2" xfId="6"/>
    <cellStyle name="Обычный 2 2" xfId="9"/>
    <cellStyle name="Обычный 2 2 2" xfId="27"/>
    <cellStyle name="Обычный 2 3" xfId="13"/>
    <cellStyle name="Обычный 3" xfId="15"/>
    <cellStyle name="Обычный 3 2" xfId="1"/>
    <cellStyle name="Обычный 4" xfId="16"/>
    <cellStyle name="Обычный 5" xfId="7"/>
    <cellStyle name="Обычный 6" xfId="19"/>
    <cellStyle name="Обычный_6200_PRT" xfId="2"/>
    <cellStyle name="Обычный_6200РД" xfId="3"/>
    <cellStyle name="Обычный_6200РД 2" xfId="5"/>
    <cellStyle name="Процентный 2" xfId="12"/>
    <cellStyle name="Финансовый 2" xfId="11"/>
    <cellStyle name="Финансовый 3" xfId="14"/>
    <cellStyle name="Финансовый 5" xfId="20"/>
  </cellStyles>
  <dxfs count="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Zarplata_1\&#1044;&#1077;&#1085;&#1080;&#1089;\&#1089;&#1086;&#1093;&#1088;&#1072;&#1085;&#1080;&#1090;&#110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idata4\tpi4\sibur.local\NIPI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s\Zarplata_1\&#1044;&#1077;&#1085;&#1080;&#1089;\&#1089;&#1086;&#1093;&#1088;&#1072;&#1085;&#1080;&#1090;&#110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idata4\tpi4\Lucenko\&#1084;&#1086;&#1080;%20&#1076;&#1086;&#1082;&#1091;&#1084;&#1077;&#1085;&#1090;\TEMP\ps19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idata4\tpi4\&#1055;&#1088;&#1086;&#1077;&#1082;&#1090;&#1099;\&#1055;&#1086;&#1076;&#1088;&#1103;&#1076;\&#1056;&#1043;&#1048;%20&#1069;&#1055;-600\2-&#1057;&#1084;&#1077;&#1090;&#1072;%20&#1048;&#1043;&#10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ТИТУЛ"/>
      <sheetName val="6.14"/>
      <sheetName val="ОБЩЕСТВА"/>
      <sheetName val="6.3.1"/>
      <sheetName val="6.20"/>
      <sheetName val="6.4.1"/>
      <sheetName val="ПРОГНОЗ_1"/>
      <sheetName val="Смета"/>
      <sheetName val="Лист1"/>
      <sheetName val="6_11_1  сторонние"/>
      <sheetName val="установки"/>
      <sheetName val="8.14 КР (списание)ОПСТИКР"/>
      <sheetName val="Стр1"/>
      <sheetName val="Список"/>
      <sheetName val="топо"/>
      <sheetName val="эл_химз_"/>
      <sheetName val="геология_"/>
      <sheetName val="6_14"/>
      <sheetName val="6_3_1"/>
      <sheetName val="6_20"/>
      <sheetName val="6_4_1"/>
      <sheetName val="6_11_1__сторонние"/>
      <sheetName val="8_14_КР_(списание)ОПСТИКР"/>
      <sheetName val="Данные для расчёта сметы"/>
      <sheetName val="Списки"/>
      <sheetName val="ПДР"/>
      <sheetName val="DATA"/>
      <sheetName val="см8"/>
      <sheetName val="вариант"/>
      <sheetName val="6.14_КР"/>
      <sheetName val="Обновление"/>
      <sheetName val="Цена"/>
      <sheetName val="Product"/>
      <sheetName val="Summary"/>
      <sheetName val="свод 2"/>
      <sheetName val="Прилож"/>
      <sheetName val="все"/>
      <sheetName val="Табл38-7"/>
      <sheetName val="Зап-3- СЦБ"/>
      <sheetName val="Кредиты"/>
      <sheetName val="информация"/>
      <sheetName val="13.1"/>
      <sheetName val="Пример расчета"/>
      <sheetName val="СметаСводная Рыб"/>
      <sheetName val="Нормы"/>
      <sheetName val="Текущие цены"/>
      <sheetName val="рабочий"/>
      <sheetName val="окраска"/>
      <sheetName val="отчет эл_эн  2000"/>
      <sheetName val="к.84-к.83"/>
      <sheetName val="Счет-Фактура"/>
      <sheetName val="Коэфф1."/>
      <sheetName val="График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Данные_для_расчёта_сметы"/>
      <sheetName val="6_14_КР"/>
      <sheetName val="свод_2"/>
      <sheetName val="Зап-3-_СЦБ"/>
      <sheetName val="13_1"/>
      <sheetName val="Пример_расчета"/>
      <sheetName val="СметаСводная_Рыб"/>
      <sheetName val="ПОДПИСИ"/>
      <sheetName val="РАСЧЕТ"/>
      <sheetName val="КП (2)"/>
      <sheetName val="Бюджет"/>
      <sheetName val="Norm"/>
      <sheetName val="sapactivexlhiddensheet"/>
      <sheetName val="Текущие_цены"/>
      <sheetName val="отчет_эл_эн__2000"/>
      <sheetName val="к_84-к_83"/>
      <sheetName val="6.3"/>
      <sheetName val="6.7"/>
      <sheetName val="6.3.1.3"/>
      <sheetName val="Лист2"/>
      <sheetName val="свод 3"/>
      <sheetName val="ID"/>
      <sheetName val="СС"/>
      <sheetName val="ЭХЗ"/>
      <sheetName val="РасчетКомандир1"/>
      <sheetName val="РасчетКомандир2"/>
      <sheetName val="Коэфф"/>
      <sheetName val="Смета2 проект. раб."/>
      <sheetName val="Суточная"/>
      <sheetName val="Смета 1"/>
      <sheetName val="РП"/>
      <sheetName val="данные"/>
      <sheetName val="Баланс"/>
      <sheetName val="Смета2_проект__раб_"/>
      <sheetName val="Смета_1"/>
      <sheetName val="СМЕТА проект"/>
      <sheetName val="Production and Spend"/>
      <sheetName val="OCK1"/>
      <sheetName val="Шкаф"/>
      <sheetName val="Прайс лист"/>
      <sheetName val="1.3"/>
      <sheetName val="ИГ1"/>
      <sheetName val="К.рын"/>
      <sheetName val="Сводная смета"/>
      <sheetName val="Землеотвод"/>
      <sheetName val="шаблон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ная"/>
      <sheetName val="Разработка проекта"/>
      <sheetName val="КП НовоКов"/>
      <sheetName val="СметаСводная 1 оч"/>
      <sheetName val="Коэфф1_"/>
      <sheetName val="Прайс_лист"/>
      <sheetName val="См_1_наруж_водопровод"/>
      <sheetName val="Разработка_проекта"/>
      <sheetName val="КП_НовоКов"/>
      <sheetName val="СметаСводная_1_оч"/>
      <sheetName val="Переменные и константы"/>
      <sheetName val="пятилетка"/>
      <sheetName val="мониторинг"/>
      <sheetName val="свод (2)"/>
      <sheetName val="Калплан ОИ2 Макм крестики"/>
      <sheetName val="СметаСводная павильон"/>
      <sheetName val="93-110"/>
      <sheetName val="Св. смета"/>
      <sheetName val="РБС ИЗМ1"/>
      <sheetName val="СметаСводная снег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сохранить"/>
      <sheetName val="5ОборРабМест(HP)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свод1"/>
      <sheetName val="Таблица 4 АСУТП"/>
      <sheetName val="Input"/>
      <sheetName val="Calculation"/>
      <sheetName val="ст ГТМ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2002(v2)"/>
      <sheetName val="справ."/>
      <sheetName val="справ_"/>
      <sheetName val="2002_v2_"/>
      <sheetName val="СметаСводная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СметаСводная Колпино"/>
      <sheetName val="Подрядчики"/>
      <sheetName val="Январь"/>
      <sheetName val="Итог"/>
      <sheetName val="мсн"/>
      <sheetName val="мат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6.11 новый"/>
      <sheetName val="Opex personnel (Term facs)"/>
      <sheetName val="Капитальные затраты"/>
      <sheetName val="накладная"/>
      <sheetName val="Акт"/>
      <sheetName val="1"/>
      <sheetName val="Пояснение "/>
      <sheetName val="3.1"/>
      <sheetName val="Коммерческие расходы"/>
      <sheetName val="RSOILBAL"/>
      <sheetName val="смета 2 проект. работы"/>
      <sheetName val="4сд"/>
      <sheetName val="2сд"/>
      <sheetName val="7сд"/>
      <sheetName val="MAIN_PARAMETERS"/>
      <sheetName val="СС замеч с ответами"/>
      <sheetName val="начало"/>
      <sheetName val="Main"/>
      <sheetName val="УП _2004"/>
      <sheetName val="в работу"/>
      <sheetName val="1ПС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20_Кредиты краткосрочные"/>
      <sheetName val="Перечень Заказчиков"/>
      <sheetName val="2.2 "/>
      <sheetName val="Хар_"/>
      <sheetName val="С1_"/>
      <sheetName val="СтрЗапасов (2)"/>
      <sheetName val="Lim"/>
      <sheetName val="Справочник"/>
      <sheetName val="PwC Copies from old models --&gt;&gt;"/>
      <sheetName val="Справочники"/>
      <sheetName val="Journals"/>
      <sheetName val="ц_1991"/>
      <sheetName val="rvldmrv"/>
      <sheetName val="Сравнение ДПН факт 06-07"/>
      <sheetName val="Параметры"/>
      <sheetName val="трансформация1"/>
      <sheetName val="НМ расчеты"/>
      <sheetName val="Names"/>
      <sheetName val="breakdown"/>
      <sheetName val="Destination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EKDEB90"/>
      <sheetName val="Коэф КВ"/>
      <sheetName val="К"/>
      <sheetName val="Смета терзем"/>
      <sheetName val="Кал.план Жукова даты - не надо"/>
      <sheetName val="кп"/>
      <sheetName val="матер."/>
      <sheetName val="КП Прим (3)"/>
      <sheetName val="Лист3"/>
      <sheetName val="АЧ"/>
      <sheetName val="кп (3)"/>
      <sheetName val="СП"/>
      <sheetName val="фонтан разбитый2"/>
      <sheetName val="Баланс (Ф1)"/>
      <sheetName val="Смета-Т"/>
      <sheetName val=""/>
      <sheetName val="Смета 3 Гидролог"/>
      <sheetName val="Записка СЦБ"/>
      <sheetName val="ИПЦ2002-2004"/>
      <sheetName val="РС 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Общая часть"/>
      <sheetName val="Табл.5"/>
      <sheetName val="Табл.2"/>
      <sheetName val="Исх.данные"/>
      <sheetName val="ВКЕ"/>
      <sheetName val="Additives"/>
      <sheetName val="Ryazan"/>
      <sheetName val="Assumpt"/>
      <sheetName val="Control"/>
      <sheetName val="См №3 ОПР"/>
      <sheetName val="см.№6 АВЗУ и ГПЗУ"/>
      <sheetName val="Геофизика"/>
      <sheetName val="Геодезия"/>
      <sheetName val="Экология1"/>
      <sheetName val="АУП"/>
      <sheetName val="CENTR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Расчет курса"/>
      <sheetName val="XLR_NoRangeSheet"/>
      <sheetName val="НЕДЕЛИ"/>
      <sheetName val="GD"/>
      <sheetName val="Source lists"/>
      <sheetName val="Восстановл_Лист37"/>
      <sheetName val="геолог"/>
      <sheetName val="Курс доллара"/>
      <sheetName val="Календарь новый"/>
      <sheetName val="Смета № 1 ИИ линия"/>
      <sheetName val="Дополнительные параметры"/>
      <sheetName val="ЛЧ"/>
      <sheetName val="Leistungsakt"/>
      <sheetName val="Свод объем"/>
      <sheetName val="Дог цена"/>
      <sheetName val="SakhNIPI5"/>
      <sheetName val="ПИР"/>
      <sheetName val="выборка на22 июня"/>
      <sheetName val="HP_и_оргтехника"/>
      <sheetName val="СМЕТА_проект"/>
      <sheetName val="Лист_опроса"/>
      <sheetName val="ОПС"/>
      <sheetName val="СметаСводная_снег"/>
      <sheetName val="Хаттон_90_90_Femco"/>
      <sheetName val="1155"/>
      <sheetName val="свод_общ"/>
      <sheetName val="таблица_руководству"/>
      <sheetName val="Суточная_добыча_за_неделю"/>
      <sheetName val="СметаСводная_павильон"/>
      <sheetName val="3труба (П)"/>
      <sheetName val="15"/>
      <sheetName val="Объемы работ по ПВ"/>
      <sheetName val="16"/>
      <sheetName val="Таблица 5"/>
      <sheetName val="Таблица 3"/>
      <sheetName val="1.401.2"/>
      <sheetName val="PO Data"/>
      <sheetName val="Rub"/>
      <sheetName val="ПД"/>
      <sheetName val="РСС_АУ"/>
      <sheetName val="Раб.АУ"/>
      <sheetName val="Коэф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свод_3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свод_ИИР"/>
      <sheetName val="М_1"/>
      <sheetName val="Акт выбора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Сметы за сопровождение"/>
      <sheetName val="Lucent"/>
      <sheetName val="СМ_x000b__x0011__x0012__x000c__x0011__x0011__x0011__x0011__x0011__x0011_"/>
      <sheetName val="ᄀᄀᄀᄀᄀᄀᄀᄀᄀᄀᄀᄀᄀᄀᄀᄀᄀ"/>
      <sheetName val="См.3_АСУ"/>
      <sheetName val="Полигон - ИЭИ "/>
      <sheetName val="Ко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BACT"/>
      <sheetName val="АСУ-линия-1"/>
      <sheetName val="ТЗ АСУ-1"/>
      <sheetName val="2-stage"/>
      <sheetName val="лч и кам"/>
      <sheetName val="Бл.электр."/>
      <sheetName val="2 Геология"/>
      <sheetName val="Объем работ"/>
      <sheetName val="MararashAA"/>
      <sheetName val="ПРОЦЕНТЫ"/>
      <sheetName val="Виды работ АСО"/>
      <sheetName val="таблица_руко_x0019__x0015__x0009__x0003__x000c__x0011__x0011_"/>
      <sheetName val="Норм"/>
      <sheetName val="ИД СМР"/>
      <sheetName val="ФОТ для смет"/>
      <sheetName val="ЛС_РЕС"/>
      <sheetName val="Общ"/>
      <sheetName val="_x0000__x0000_"/>
      <sheetName val="таблица_руко_x0019__x0015_ _x0003__x000c__x0011__x0011_"/>
      <sheetName val="КБК ДПК"/>
      <sheetName val="ПС_x0000__x0000__x0000__x0000__x0000__x0000_"/>
      <sheetName val="эл_химз_2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Main list"/>
      <sheetName val="ПД-2.2"/>
      <sheetName val="6"/>
      <sheetName val="1.14"/>
      <sheetName val="1.7"/>
      <sheetName val="#ССЫЛКА"/>
      <sheetName val="Вспом."/>
      <sheetName val="УКП"/>
      <sheetName val="БД"/>
      <sheetName val="Лист4"/>
      <sheetName val="Общий"/>
      <sheetName val="ТабР"/>
      <sheetName val="ЕТС (ф)"/>
      <sheetName val="база"/>
      <sheetName val="3_гидромет"/>
      <sheetName val="СМ"/>
      <sheetName val="СМИС"/>
      <sheetName val="эл_химз_3"/>
      <sheetName val="13_11"/>
      <sheetName val="КП_(2)1"/>
      <sheetName val="свод_31"/>
      <sheetName val="СМЕТА_проект1"/>
      <sheetName val="1_31"/>
      <sheetName val="К_рын1"/>
      <sheetName val="Сводная_смета1"/>
      <sheetName val="Переменные_и_константы1"/>
      <sheetName val="СметаСводная_павильон1"/>
      <sheetName val="СметаСводная_снег1"/>
      <sheetName val="Лист_опроса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Смета_1свод1"/>
      <sheetName val="таблица_руководству1"/>
      <sheetName val="Суточная_добыча_за_неделю1"/>
      <sheetName val="Прибыль_опл1"/>
      <sheetName val="№5_СУБ_Инж_защ1"/>
      <sheetName val="HP_и_оргтехника1"/>
      <sheetName val="Таблица_4_АСУТП1"/>
      <sheetName val="ПДР_ООО_&quot;Юкос_ФБЦ&quot;1"/>
      <sheetName val="исходные_данные1"/>
      <sheetName val="расчетные_таблицы1"/>
      <sheetName val="Амур_ДОН1"/>
      <sheetName val="Б_Сатка1"/>
      <sheetName val="справ_2"/>
      <sheetName val="Перечень_ИУ1"/>
      <sheetName val="3_1_ТХ1"/>
      <sheetName val="СметаСводная_Колпино1"/>
      <sheetName val="3_51"/>
      <sheetName val="Смета_21"/>
      <sheetName val="Ачинский_НПЗ1"/>
      <sheetName val="См3_СЦБ-зап1"/>
      <sheetName val="Хаттон_90_90_Femco1"/>
      <sheetName val="свод_общ1"/>
      <sheetName val="Смета_5_2__Кусты25,29,31,651"/>
      <sheetName val="р_Волхов1"/>
      <sheetName val="Opex_personnel_(Term_facs)1"/>
      <sheetName val="Капитальные_затраты1"/>
      <sheetName val="Пояснение_"/>
      <sheetName val="3_11"/>
      <sheetName val="Коммерческие_расходы1"/>
      <sheetName val="смета_2_проект__работы"/>
      <sheetName val="СС_замеч_с_ответами1"/>
      <sheetName val="УП__20041"/>
      <sheetName val="в_работу1"/>
      <sheetName val="3_21"/>
      <sheetName val="3_31"/>
      <sheetName val="Р2_11"/>
      <sheetName val="Р2_21"/>
      <sheetName val="Удельные(проф_)1"/>
      <sheetName val="Константы_и_результаты1"/>
      <sheetName val="расчет_№31"/>
      <sheetName val="20_Кредиты_краткосрочные1"/>
      <sheetName val="Перечень_Заказчиков1"/>
      <sheetName val="2_2_1"/>
      <sheetName val="СтрЗапасов_(2)"/>
      <sheetName val="PwC_Copies_from_old_models_--&gt;&gt;"/>
      <sheetName val="Сравнение_ДПН_факт_06-07"/>
      <sheetName val="НМ_расчеты"/>
      <sheetName val="КП_к_снег_Рыбинская1"/>
      <sheetName val="Коэф_КВ"/>
      <sheetName val="Смета_терзем"/>
      <sheetName val="Кал_план_Жукова_даты_-_не_надо"/>
      <sheetName val="матер_"/>
      <sheetName val="КП_Прим_(3)"/>
      <sheetName val="кп_(3)"/>
      <sheetName val="фонтан_разбитый2"/>
      <sheetName val="РС_"/>
      <sheetName val="Баланс_(Ф1)"/>
      <sheetName val="Смета_3_Гидролог"/>
      <sheetName val="Записка_СЦБ"/>
      <sheetName val="Раб_АУ"/>
      <sheetName val="Source_lists"/>
      <sheetName val="Общая_часть"/>
      <sheetName val="Табл_51"/>
      <sheetName val="Табл_21"/>
      <sheetName val="См_№3_ОПР"/>
      <sheetName val="см_№6_АВЗУ_и_ГПЗУ"/>
      <sheetName val="Input_Assumptions"/>
      <sheetName val="см_№1_1_Геодезические_работы_"/>
      <sheetName val="см_№1_4_Экология_"/>
      <sheetName val="АСУ_ТП_1_этап_ПД"/>
      <sheetName val="Расчет_курса"/>
      <sheetName val="ПС"/>
      <sheetName val="ДДС_(Форма_№3)"/>
      <sheetName val="Курс_доллара"/>
      <sheetName val="Календарь_новый"/>
      <sheetName val="Смета_№_1_ИИ_линия"/>
      <sheetName val="Дополнительные_параметры"/>
      <sheetName val="Свод_объем"/>
      <sheetName val="Дог_цена"/>
      <sheetName val="выборка_на22_июня"/>
      <sheetName val="3труба_(П)"/>
      <sheetName val="Объемы_работ_по_ПВ"/>
      <sheetName val="Таблица_5"/>
      <sheetName val="Таблица_3"/>
      <sheetName val="1_401_2"/>
      <sheetName val="PO_Data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Сводная_"/>
      <sheetName val="7_ТХ_Сети_(кор)"/>
      <sheetName val="Tier_311208"/>
      <sheetName val="Акт_выбора"/>
      <sheetName val="См_№7_Эл_"/>
      <sheetName val="См_№8_Пож_"/>
      <sheetName val="См_№3_ВиК"/>
      <sheetName val="Сметы_за_сопровождение"/>
      <sheetName val="геология_3"/>
      <sheetName val="6_143"/>
      <sheetName val="6_3_13"/>
      <sheetName val="6_203"/>
      <sheetName val="6_4_13"/>
      <sheetName val="6_11_1__сторонние3"/>
      <sheetName val="8_14_КР_(списание)ОПСТИКР3"/>
      <sheetName val="Данные_для_расчёта_сметы2"/>
      <sheetName val="6_14_КР2"/>
      <sheetName val="Пример_расчета2"/>
      <sheetName val="свод_22"/>
      <sheetName val="Зап-3-_СЦБ2"/>
      <sheetName val="СметаСводная_Рыб2"/>
      <sheetName val="Текущие_цены2"/>
      <sheetName val="отчет_эл_эн__20002"/>
      <sheetName val="к_84-к_832"/>
      <sheetName val="Коэфф1_2"/>
      <sheetName val="6_31"/>
      <sheetName val="6_71"/>
      <sheetName val="6_3_1_31"/>
      <sheetName val="Смета2_проект__раб_2"/>
      <sheetName val="Смета_12"/>
      <sheetName val="Production_and_Spend1"/>
      <sheetName val="Прайс_лист2"/>
      <sheetName val="См_1_наруж_водопровод2"/>
      <sheetName val="Разработка_проекта2"/>
      <sheetName val="КП_НовоКов2"/>
      <sheetName val="СметаСводная_1_оч2"/>
      <sheetName val="свод_(2)1"/>
      <sheetName val="Калплан_ОИ2_Макм_крестики1"/>
      <sheetName val="Св__смета1"/>
      <sheetName val="РБС_ИЗМ11"/>
      <sheetName val="Таблица_21"/>
      <sheetName val="ст_ГТМ1"/>
      <sheetName val="кп_ГК1"/>
      <sheetName val="Справочные_данные1"/>
      <sheetName val="суб_подряд2"/>
      <sheetName val="ПСБ_-_ОЭ2"/>
      <sheetName val="смета_СИД1"/>
      <sheetName val="ресурсная_вед_1"/>
      <sheetName val="КП_к_ГК1"/>
      <sheetName val="изыскания_21"/>
      <sheetName val="Калплан_Кра1"/>
      <sheetName val="6_11_новый1"/>
      <sheetName val="См_3_АСУ"/>
      <sheetName val="Полигон_-_ИЭИ_"/>
      <sheetName val="Смета_ТЗ_АСУ-16"/>
      <sheetName val="База_Геодезия"/>
      <sheetName val="База_Геология"/>
      <sheetName val="База_Геофизика"/>
      <sheetName val="4_1_1"/>
      <sheetName val="исп_1_1_1"/>
      <sheetName val="База_Гидро"/>
      <sheetName val="4_2_1"/>
      <sheetName val="исп_1_1_2"/>
      <sheetName val="Исп__смета_этап_1_1,_1_2"/>
      <sheetName val="8"/>
      <sheetName val="basa"/>
      <sheetName val="СВ 2"/>
      <sheetName val="1.2_"/>
      <sheetName val="Base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Исх."/>
      <sheetName val="исх-данные"/>
      <sheetName val="ИД ПНР"/>
      <sheetName val="кап.ремонт"/>
      <sheetName val="Обор"/>
      <sheetName val="пофакторный"/>
      <sheetName val="РАСШИФ_ЦЕХ_РАСХ"/>
      <sheetName val="топ"/>
      <sheetName val="Дог_рас"/>
      <sheetName val="Ограничения шаблон"/>
      <sheetName val="Лист"/>
      <sheetName val="Исх"/>
      <sheetName val="Причины отклонений"/>
      <sheetName val="Статус работы"/>
      <sheetName val="Уровень графика"/>
      <sheetName val="Технический лист"/>
      <sheetName val="анализ 2003_2004исполнение МТО"/>
      <sheetName val="Приложение 2"/>
      <sheetName val="Исх1"/>
      <sheetName val="Тестовый"/>
      <sheetName val="Panduit"/>
      <sheetName val=" Свод"/>
      <sheetName val="Пра"/>
      <sheetName val="исключ ЭХЗ"/>
      <sheetName val="БДР"/>
      <sheetName val="геол"/>
      <sheetName val="аванс по ОС"/>
      <sheetName val="Авансы выданные"/>
      <sheetName val="Кред"/>
      <sheetName val="ДЗ"/>
      <sheetName val="Кред. задолж."/>
      <sheetName val="Прочие"/>
      <sheetName val="Сводный"/>
      <sheetName val="ГАЗ_камаз"/>
      <sheetName val="41"/>
      <sheetName val="Договорная цена"/>
      <sheetName val="Имя"/>
      <sheetName val="№2Гидромет."/>
      <sheetName val="№2Геолог"/>
      <sheetName val="№2Геолог с.п."/>
      <sheetName val="№3Экологи (2этап)"/>
      <sheetName val="Исходная"/>
      <sheetName val="Должности"/>
      <sheetName val="3 Сл.-структура затрат"/>
      <sheetName val="const"/>
      <sheetName val="расчеты"/>
      <sheetName val="ПС 110 кВ (доп)"/>
      <sheetName val="ПД-2.1"/>
      <sheetName val="Смета 7"/>
      <sheetName val="Бл_электр_"/>
      <sheetName val="Прил.5 СС"/>
      <sheetName val="расчет вязкости"/>
      <sheetName val="Сравнение с Finder - ДНС-5"/>
      <sheetName val="Пра_x0000_с_лист"/>
      <sheetName val="Исх. данные"/>
      <sheetName val="эл_химз_4"/>
      <sheetName val="13_12"/>
      <sheetName val="КП_(2)2"/>
      <sheetName val="свод_32"/>
      <sheetName val="СМЕТА_проект2"/>
      <sheetName val="1_32"/>
      <sheetName val="К_рын2"/>
      <sheetName val="Сводная_смета2"/>
      <sheetName val="Переменные_и_константы2"/>
      <sheetName val="СметаСводная_павильон2"/>
      <sheetName val="СметаСводная_снег2"/>
      <sheetName val="Лист_опроса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Смета_1свод2"/>
      <sheetName val="таблица_руководству2"/>
      <sheetName val="Суточная_добыча_за_неделю2"/>
      <sheetName val="Прибыль_опл2"/>
      <sheetName val="№5_СУБ_Инж_защ2"/>
      <sheetName val="HP_и_оргтехника2"/>
      <sheetName val="Таблица_4_АСУТП2"/>
      <sheetName val="ПДР_ООО_&quot;Юкос_ФБЦ&quot;2"/>
      <sheetName val="исходные_данные2"/>
      <sheetName val="расчетные_таблицы2"/>
      <sheetName val="Амур_ДОН2"/>
      <sheetName val="Б_Сатка2"/>
      <sheetName val="справ_3"/>
      <sheetName val="Перечень_ИУ2"/>
      <sheetName val="3_1_ТХ2"/>
      <sheetName val="СметаСводная_Колпино2"/>
      <sheetName val="3_52"/>
      <sheetName val="Смета_22"/>
      <sheetName val="Ачинский_НПЗ2"/>
      <sheetName val="См3_СЦБ-зап2"/>
      <sheetName val="Хаттон_90_90_Femco2"/>
      <sheetName val="свод_общ2"/>
      <sheetName val="Смета_5_2__Кусты25,29,31,652"/>
      <sheetName val="р_Волхов2"/>
      <sheetName val="Opex_personnel_(Term_facs)2"/>
      <sheetName val="Капитальные_затраты2"/>
      <sheetName val="Пояснение_1"/>
      <sheetName val="3_12"/>
      <sheetName val="Коммерческие_расходы2"/>
      <sheetName val="смета_2_проект__работы1"/>
      <sheetName val="СС_замеч_с_ответами2"/>
      <sheetName val="УП__20042"/>
      <sheetName val="в_работу2"/>
      <sheetName val="3_22"/>
      <sheetName val="3_32"/>
      <sheetName val="Р2_12"/>
      <sheetName val="Р2_22"/>
      <sheetName val="Удельные(проф_)2"/>
      <sheetName val="Константы_и_результаты2"/>
      <sheetName val="расчет_№32"/>
      <sheetName val="20_Кредиты_краткосрочные2"/>
      <sheetName val="Перечень_Заказчиков2"/>
      <sheetName val="2_2_2"/>
      <sheetName val="СтрЗапасов_(2)1"/>
      <sheetName val="PwC_Copies_from_old_models_--&gt;1"/>
      <sheetName val="Сравнение_ДПН_факт_06-071"/>
      <sheetName val="НМ_расчеты1"/>
      <sheetName val="КП_к_снег_Рыбинская2"/>
      <sheetName val="Коэф_КВ1"/>
      <sheetName val="Смета_терзем1"/>
      <sheetName val="Кал_план_Жукова_даты_-_не_надо1"/>
      <sheetName val="матер_1"/>
      <sheetName val="КП_Прим_(3)1"/>
      <sheetName val="кп_(3)1"/>
      <sheetName val="фонтан_разбитый21"/>
      <sheetName val="Баланс_(Ф1)1"/>
      <sheetName val="Смета_3_Гидролог1"/>
      <sheetName val="Записка_СЦБ1"/>
      <sheetName val="РС_1"/>
      <sheetName val="Раб_АУ1"/>
      <sheetName val="Source_lists1"/>
      <sheetName val="Общая_часть1"/>
      <sheetName val="Табл_52"/>
      <sheetName val="Табл_22"/>
      <sheetName val="См_№3_ОПР1"/>
      <sheetName val="см_№6_АВЗУ_и_ГПЗУ1"/>
      <sheetName val="Input_Assumptions1"/>
      <sheetName val="см_№1_1_Геодезические_работы_1"/>
      <sheetName val="см_№1_4_Экология_1"/>
      <sheetName val="АСУ_ТП_1_этап_ПД1"/>
      <sheetName val="Расчет_курса1"/>
      <sheetName val="ДДС_(Форма_№3)1"/>
      <sheetName val="Курс_доллара1"/>
      <sheetName val="Календарь_новый1"/>
      <sheetName val="Смета_№_1_ИИ_линия1"/>
      <sheetName val="Дополнительные_параметры1"/>
      <sheetName val="Свод_объем1"/>
      <sheetName val="Дог_цена1"/>
      <sheetName val="выборка_на22_июня1"/>
      <sheetName val="3труба_(П)1"/>
      <sheetName val="Объемы_работ_по_ПВ1"/>
      <sheetName val="Таблица_51"/>
      <sheetName val="Таблица_31"/>
      <sheetName val="1_401_21"/>
      <sheetName val="PO_Data1"/>
      <sheetName val="р_Нева2"/>
      <sheetName val="р_Молога2"/>
      <sheetName val="18_рек_Ю-Х2"/>
      <sheetName val="нпс_Палкино2"/>
      <sheetName val="Россия_-_Китай2"/>
      <sheetName val="КМ_210-2382"/>
      <sheetName val="БТС-2_км_405-4592"/>
      <sheetName val="БТС-2_км_405-4532"/>
      <sheetName val="БТС-2_км_313-3522"/>
      <sheetName val="БТС-2_км326-3522"/>
      <sheetName val="Улейма_И2"/>
      <sheetName val="Белая_УБКА2"/>
      <sheetName val="км_72-75р_Левоннька2"/>
      <sheetName val="киенгоп-н_Челны_км_104-2062"/>
      <sheetName val="ВЛ_Урдома2"/>
      <sheetName val="Вл_Микунь_Урдома2"/>
      <sheetName val="ВЛ_Синдор-Микунь2"/>
      <sheetName val="Тон_Чермасан2"/>
      <sheetName val="Трасса_км_16-1472"/>
      <sheetName val="трасса_0-762"/>
      <sheetName val="Колва_782"/>
      <sheetName val="Гидрология__р_Колва_км_382"/>
      <sheetName val="ПСП_2"/>
      <sheetName val="Новая_сводка_(до_бюджета)_(2)3"/>
      <sheetName val="Что_пришло3"/>
      <sheetName val="влад-таблица_(2)3"/>
      <sheetName val="Новая_сводка_(до_бюджета)3"/>
      <sheetName val="Новая_сводка3"/>
      <sheetName val="Общие_расходы3"/>
      <sheetName val="Новая_сводка_(по_бюджету)3"/>
      <sheetName val="Íîâàÿ_ñâîäêà_(äî_áþäæåòà)_(2)3"/>
      <sheetName val="×òî_ïðèøëî3"/>
      <sheetName val="âëàä-òàáëèöà_(2)3"/>
      <sheetName val="Íîâàÿ_ñâîäêà_(äî_áþäæåòà)3"/>
      <sheetName val="Íîâàÿ_ñâîäêà3"/>
      <sheetName val="Îáùèå_ðàñõîäû3"/>
      <sheetName val="Íîâàÿ_ñâîäêà_(ïî_áþäæåòó)3"/>
      <sheetName val="6_10_13"/>
      <sheetName val="6_7_3_ТН3"/>
      <sheetName val="6_13"/>
      <sheetName val="6_52-свод2"/>
      <sheetName val="Сводная_1"/>
      <sheetName val="7_ТХ_Сети_(кор)1"/>
      <sheetName val="Tier_3112081"/>
      <sheetName val="Акт_выбора1"/>
      <sheetName val="См_№7_Эл_1"/>
      <sheetName val="См_№8_Пож_1"/>
      <sheetName val="См_№3_ВиК1"/>
      <sheetName val="Сметы_за_сопровождение1"/>
      <sheetName val="ЕТС_(ф)"/>
      <sheetName val="Промер глуб"/>
      <sheetName val="SENSITIVITY"/>
      <sheetName val="Расчет №1.1"/>
      <sheetName val="Расчет №2.1"/>
      <sheetName val="геология_4"/>
      <sheetName val="6_144"/>
      <sheetName val="6_3_14"/>
      <sheetName val="6_204"/>
      <sheetName val="6_4_14"/>
      <sheetName val="6_11_1__сторонние4"/>
      <sheetName val="8_14_КР_(списание)ОПСТИКР4"/>
      <sheetName val="Данные_для_расчёта_сметы3"/>
      <sheetName val="6_14_КР3"/>
      <sheetName val="Текущие_цены3"/>
      <sheetName val="отчет_эл_эн__20003"/>
      <sheetName val="к_84-к_833"/>
      <sheetName val="свод_23"/>
      <sheetName val="Зап-3-_СЦБ3"/>
      <sheetName val="Пример_расчета3"/>
      <sheetName val="СметаСводная_Рыб3"/>
      <sheetName val="Коэфф1_3"/>
      <sheetName val="6_32"/>
      <sheetName val="6_72"/>
      <sheetName val="6_3_1_32"/>
      <sheetName val="Смета2_проект__раб_3"/>
      <sheetName val="Смета_13"/>
      <sheetName val="Production_and_Spend2"/>
      <sheetName val="Прайс_лист3"/>
      <sheetName val="См_1_наруж_водопровод3"/>
      <sheetName val="Разработка_проекта3"/>
      <sheetName val="КП_НовоКов3"/>
      <sheetName val="СметаСводная_1_оч3"/>
      <sheetName val="свод_(2)2"/>
      <sheetName val="Калплан_ОИ2_Макм_крестики2"/>
      <sheetName val="Св__смета2"/>
      <sheetName val="РБС_ИЗМ12"/>
      <sheetName val="Таблица_22"/>
      <sheetName val="ст_ГТМ2"/>
      <sheetName val="кп_ГК2"/>
      <sheetName val="Справочные_данные2"/>
      <sheetName val="суб_подряд3"/>
      <sheetName val="ПСБ_-_ОЭ3"/>
      <sheetName val="смета_СИД2"/>
      <sheetName val="ресурсная_вед_2"/>
      <sheetName val="КП_к_ГК2"/>
      <sheetName val="изыскания_22"/>
      <sheetName val="Калплан_Кра2"/>
      <sheetName val="6_11_новый2"/>
      <sheetName val="См_3_АСУ1"/>
      <sheetName val="Полигон_-_ИЭИ_1"/>
      <sheetName val="Смета_ТЗ_АСУ-161"/>
      <sheetName val="База_Геодезия1"/>
      <sheetName val="База_Геология1"/>
      <sheetName val="База_Геофизика1"/>
      <sheetName val="4_1_11"/>
      <sheetName val="исп_1_1_11"/>
      <sheetName val="База_Гидро1"/>
      <sheetName val="4_2_11"/>
      <sheetName val="исп_1_1_21"/>
      <sheetName val="Исп__смета_этап_1_1,_1_21"/>
      <sheetName val="КБК_ДПК"/>
      <sheetName val="ТЗ_АСУ-1"/>
      <sheetName val="лч_и_кам"/>
      <sheetName val="ИД_СМР"/>
      <sheetName val="Вспом_"/>
      <sheetName val="2_Геология"/>
      <sheetName val="Объем_работ"/>
      <sheetName val="Виды_работ_АСО"/>
      <sheetName val="таблица_руко_1"/>
      <sheetName val="ФОТ_для_смет"/>
      <sheetName val="таблица_руко_"/>
      <sheetName val="Исх__данные"/>
      <sheetName val="Main_list"/>
      <sheetName val="ПД-2_2"/>
      <sheetName val="1_14"/>
      <sheetName val="1_7"/>
      <sheetName val="Промер_глуб"/>
      <sheetName val="Форма 2.1"/>
      <sheetName val="ДЦ"/>
      <sheetName val=" Оборудование  end"/>
      <sheetName val="автоматизация РД"/>
      <sheetName val="W28"/>
      <sheetName val="См_2 Шатурс сети  проект работы"/>
      <sheetName val="выборка "/>
      <sheetName val="выборка раб"/>
      <sheetName val="РабПр"/>
      <sheetName val="Свод2006"/>
      <sheetName val="1 кв"/>
      <sheetName val="РС"/>
      <sheetName val="Акт-Смета_30"/>
      <sheetName val="Смета 2 эл.монтаж"/>
      <sheetName val="Смета 1 общестроит"/>
      <sheetName val="сводная (2)"/>
      <sheetName val="см 5 ОДД "/>
      <sheetName val="Смета _4ПР ЭХЗ"/>
      <sheetName val="Акт выполненных работ 46"/>
      <sheetName val="SMW_Служебная"/>
      <sheetName val="СВ"/>
      <sheetName val="Настройки"/>
      <sheetName val="Производство электроэнергии"/>
      <sheetName val="Т11"/>
      <sheetName val="Т12"/>
      <sheetName val="Т7"/>
      <sheetName val="GLOBAL"/>
      <sheetName val="Прочее"/>
      <sheetName val="ИНСТРУКЦИЯ"/>
      <sheetName val="темп"/>
      <sheetName val="ЛЧ Р"/>
      <sheetName val="2.1"/>
      <sheetName val="Расч(подряд)"/>
      <sheetName val="PLиюль04"/>
      <sheetName val="PL СКР"/>
      <sheetName val="1.1"/>
      <sheetName val="1.2-1"/>
      <sheetName val="1.2-2"/>
      <sheetName val="1.2-3"/>
      <sheetName val="1.2-4"/>
      <sheetName val="1.2-5"/>
      <sheetName val="1.3.1"/>
      <sheetName val="1.3.2"/>
      <sheetName val="1.3.3"/>
      <sheetName val="1.4.1.1"/>
      <sheetName val="1.4.1.2"/>
      <sheetName val="1.4.1.3"/>
      <sheetName val="1.4.1.5"/>
      <sheetName val="1.5"/>
      <sheetName val="№2.1"/>
      <sheetName val="№2.2-1"/>
      <sheetName val="№2.2-2"/>
      <sheetName val="№2.2-3 "/>
      <sheetName val="2.2-5 "/>
      <sheetName val="№2.3.1"/>
      <sheetName val="№2.3.2"/>
      <sheetName val="2.3.3"/>
      <sheetName val="2.4.1.1"/>
      <sheetName val="2.4.1.3"/>
      <sheetName val="№3.1"/>
      <sheetName val="№3.2-1"/>
      <sheetName val="№3.2-2"/>
      <sheetName val="№3.2-3"/>
      <sheetName val="3.2-5 "/>
      <sheetName val="3.3.1"/>
      <sheetName val="3.3.2"/>
      <sheetName val="3.3.3"/>
      <sheetName val="3.4.1.3"/>
      <sheetName val="2.6"/>
      <sheetName val="2.7"/>
      <sheetName val="4.1"/>
      <sheetName val="4.2"/>
      <sheetName val="4.3"/>
      <sheetName val="4.4"/>
      <sheetName val="4.5"/>
      <sheetName val="4.6"/>
      <sheetName val="4.7"/>
      <sheetName val="4.9"/>
      <sheetName val="4.10"/>
      <sheetName val="4.10 (3)"/>
      <sheetName val="4.10 (2)"/>
      <sheetName val="4.11"/>
      <sheetName val="4.12"/>
      <sheetName val="4.13"/>
      <sheetName val="4.14"/>
      <sheetName val="4.15"/>
      <sheetName val="4.16"/>
      <sheetName val="4.17"/>
      <sheetName val="4.18"/>
      <sheetName val="4.19"/>
      <sheetName val="5.1"/>
      <sheetName val="5.2"/>
      <sheetName val="5.3"/>
      <sheetName val="5.4"/>
      <sheetName val="5.5"/>
      <sheetName val="5.6"/>
      <sheetName val="5.7"/>
      <sheetName val="5.8"/>
      <sheetName val="Настройка"/>
      <sheetName val="База ВОП"/>
      <sheetName val="База ПИР"/>
      <sheetName val="2.2"/>
      <sheetName val="2.3"/>
      <sheetName val="2.3.2"/>
      <sheetName val="2.4"/>
      <sheetName val="2.5"/>
      <sheetName val=" Ком"/>
      <sheetName val="2.3.лаб"/>
      <sheetName val="3.1земля"/>
      <sheetName val="6.1-7.1"/>
      <sheetName val="рекульт"/>
      <sheetName val="ГО и ЧС"/>
      <sheetName val="ДПБ"/>
      <sheetName val="№3"/>
      <sheetName val="№1 СИД"/>
      <sheetName val="№2 Ком дьяк"/>
      <sheetName val="№3.2"/>
      <sheetName val="№3.3"/>
      <sheetName val="СВ смета"/>
      <sheetName val="№3.4"/>
      <sheetName val="№4 ПДЛУ и ЗУ"/>
      <sheetName val="№5 ППиМТ"/>
      <sheetName val="№6.1 ТГВ"/>
      <sheetName val="№6.2 ЭХЗ"/>
      <sheetName val="№6.3 ЭС (согл )"/>
      <sheetName val="№6.4 КИП"/>
      <sheetName val="№6.5 Согл (КИП) "/>
      <sheetName val="№6.6 МЕО "/>
      <sheetName val="№6.7 ПожБ (ПД)"/>
      <sheetName val="№6.8 Пром без (ПД)"/>
      <sheetName val="№6.9 эк аспект"/>
      <sheetName val="№6.10 ОВОС"/>
      <sheetName val="№6.11 отвод"/>
      <sheetName val="№6.12 рекул"/>
      <sheetName val="№6.13 отход"/>
      <sheetName val="№6.14 выброс"/>
      <sheetName val="№6.15 ИБ (ПД)"/>
      <sheetName val="№6.16 ИБ (РД)"/>
      <sheetName val="Таблица"/>
      <sheetName val="rankout"/>
      <sheetName val="Акты"/>
      <sheetName val="ЛС_БИ"/>
      <sheetName val="1-1"/>
      <sheetName val="1-2"/>
      <sheetName val="1-4"/>
      <sheetName val="изм2-1"/>
      <sheetName val="2-2"/>
      <sheetName val="2-3"/>
      <sheetName val="изм7-1"/>
      <sheetName val="изм9-1"/>
      <sheetName val="Список_объектов"/>
      <sheetName val="Коэффициенты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 refreshError="1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>
        <row r="1">
          <cell r="B1">
            <v>0</v>
          </cell>
        </row>
      </sheetData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 refreshError="1"/>
      <sheetData sheetId="1039" refreshError="1"/>
      <sheetData sheetId="1040" refreshError="1"/>
      <sheetData sheetId="1041"/>
      <sheetData sheetId="1042"/>
      <sheetData sheetId="1043" refreshError="1"/>
      <sheetData sheetId="1044" refreshError="1"/>
      <sheetData sheetId="1045" refreshError="1"/>
      <sheetData sheetId="1046"/>
      <sheetData sheetId="1047"/>
      <sheetData sheetId="1048"/>
      <sheetData sheetId="1049"/>
      <sheetData sheetId="1050"/>
      <sheetData sheetId="1051">
        <row r="1">
          <cell r="B1">
            <v>0</v>
          </cell>
        </row>
      </sheetData>
      <sheetData sheetId="1052" refreshError="1"/>
      <sheetData sheetId="1053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>
        <row r="1">
          <cell r="B1">
            <v>0</v>
          </cell>
        </row>
      </sheetData>
      <sheetData sheetId="1066" refreshError="1"/>
      <sheetData sheetId="1067"/>
      <sheetData sheetId="1068" refreshError="1"/>
      <sheetData sheetId="1069" refreshError="1"/>
      <sheetData sheetId="1070">
        <row r="1">
          <cell r="B1">
            <v>0</v>
          </cell>
        </row>
      </sheetData>
      <sheetData sheetId="1071" refreshError="1"/>
      <sheetData sheetId="1072" refreshError="1"/>
      <sheetData sheetId="1073" refreshError="1"/>
      <sheetData sheetId="1074" refreshError="1"/>
      <sheetData sheetId="1075"/>
      <sheetData sheetId="1076"/>
      <sheetData sheetId="1077"/>
      <sheetData sheetId="1078">
        <row r="1">
          <cell r="B1">
            <v>0</v>
          </cell>
        </row>
      </sheetData>
      <sheetData sheetId="1079"/>
      <sheetData sheetId="1080">
        <row r="1">
          <cell r="B1">
            <v>0</v>
          </cell>
        </row>
      </sheetData>
      <sheetData sheetId="1081">
        <row r="1">
          <cell r="B1">
            <v>0</v>
          </cell>
        </row>
      </sheetData>
      <sheetData sheetId="1082">
        <row r="1">
          <cell r="B1">
            <v>0</v>
          </cell>
        </row>
      </sheetData>
      <sheetData sheetId="1083"/>
      <sheetData sheetId="1084">
        <row r="1">
          <cell r="B1">
            <v>0</v>
          </cell>
        </row>
      </sheetData>
      <sheetData sheetId="1085"/>
      <sheetData sheetId="1086"/>
      <sheetData sheetId="1087">
        <row r="1">
          <cell r="B1">
            <v>0</v>
          </cell>
        </row>
      </sheetData>
      <sheetData sheetId="1088"/>
      <sheetData sheetId="1089">
        <row r="1">
          <cell r="B1">
            <v>0</v>
          </cell>
        </row>
      </sheetData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>
        <row r="1">
          <cell r="B1">
            <v>0</v>
          </cell>
        </row>
      </sheetData>
      <sheetData sheetId="1117"/>
      <sheetData sheetId="1118"/>
      <sheetData sheetId="1119"/>
      <sheetData sheetId="1120"/>
      <sheetData sheetId="1121"/>
      <sheetData sheetId="1122"/>
      <sheetData sheetId="1123"/>
      <sheetData sheetId="1124">
        <row r="1">
          <cell r="B1">
            <v>0</v>
          </cell>
        </row>
      </sheetData>
      <sheetData sheetId="1125"/>
      <sheetData sheetId="1126">
        <row r="1">
          <cell r="B1">
            <v>0</v>
          </cell>
        </row>
      </sheetData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>
        <row r="1">
          <cell r="B1">
            <v>0</v>
          </cell>
        </row>
      </sheetData>
      <sheetData sheetId="1232"/>
      <sheetData sheetId="1233"/>
      <sheetData sheetId="1234" refreshError="1"/>
      <sheetData sheetId="1235" refreshError="1"/>
      <sheetData sheetId="1236" refreshError="1"/>
      <sheetData sheetId="1237" refreshError="1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/>
      <sheetData sheetId="1393"/>
      <sheetData sheetId="1394" refreshError="1"/>
      <sheetData sheetId="1395"/>
      <sheetData sheetId="1396"/>
      <sheetData sheetId="1397"/>
      <sheetData sheetId="1398"/>
      <sheetData sheetId="1399"/>
      <sheetData sheetId="1400"/>
      <sheetData sheetId="140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 refreshError="1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вод_ИИР"/>
      <sheetName val="СметаСводная снег"/>
      <sheetName val="эл_химз_"/>
      <sheetName val="геология_"/>
      <sheetName val="Смета"/>
      <sheetName val="Табл38-7"/>
      <sheetName val="вариант"/>
      <sheetName val="Зап-3- СЦБ"/>
      <sheetName val="Лист1"/>
      <sheetName val="Обновление"/>
      <sheetName val="Цена"/>
      <sheetName val="Product"/>
      <sheetName val="топо"/>
      <sheetName val="Разработка проекта"/>
      <sheetName val="сводная"/>
      <sheetName val="См 1 наруж.водопровод"/>
      <sheetName val="График"/>
      <sheetName val="ПДР"/>
      <sheetName val="Смета 1"/>
      <sheetName val="Summary"/>
      <sheetName val="РП"/>
      <sheetName val="1"/>
      <sheetName val="сохранить"/>
      <sheetName val="Суточная"/>
      <sheetName val="5ОборРабМест(HP)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 2"/>
      <sheetName val="КП НовоКов"/>
      <sheetName val="sapactivexlhiddensheet"/>
      <sheetName val="Спецификация"/>
      <sheetName val="Шкаф"/>
      <sheetName val="Коэфф1."/>
      <sheetName val="Прайс лист"/>
      <sheetName val="Данные для расчёта сметы"/>
      <sheetName val="См_1_наруж_водопровод"/>
      <sheetName val="свод_2"/>
      <sheetName val="Разработка_проекта"/>
      <sheetName val="КП_НовоКов"/>
      <sheetName val="Счет-Фактура"/>
      <sheetName val="Переменные и константы"/>
      <sheetName val="СметаСводная 1 оч"/>
      <sheetName val="пятилетка"/>
      <sheetName val="мониторинг"/>
      <sheetName val="СМЕТА проект"/>
      <sheetName val="Данные_для_расчёта_сметы"/>
      <sheetName val="Коэфф1_"/>
      <sheetName val="Прайс_лист"/>
      <sheetName val="СметаСводная_1_оч"/>
      <sheetName val="Пример расчета"/>
      <sheetName val="свод (2)"/>
      <sheetName val="Калплан ОИ2 Макм крестики"/>
      <sheetName val="к.84-к.83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Прилож"/>
      <sheetName val="см8"/>
      <sheetName val="DATA"/>
      <sheetName val="Нормы"/>
      <sheetName val="Текущие цены"/>
      <sheetName val="рабочий"/>
      <sheetName val="окраска"/>
      <sheetName val="все"/>
      <sheetName val="Кредиты"/>
      <sheetName val="СметаСводная Рыб"/>
      <sheetName val="отчет эл_эн  2000"/>
      <sheetName val="информация"/>
      <sheetName val="ПОДПИСИ"/>
      <sheetName val="13.1"/>
      <sheetName val="РАСЧЕТ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Зап-3-_СЦБ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Лист2"/>
      <sheetName val="КП (2)"/>
      <sheetName val="Бюджет"/>
      <sheetName val="Norm"/>
      <sheetName val="свод 3"/>
      <sheetName val="ID"/>
      <sheetName val="СС"/>
      <sheetName val="ЭХЗ"/>
      <sheetName val="РасчетКомандир1"/>
      <sheetName val="РасчетКомандир2"/>
      <sheetName val="Коэфф"/>
      <sheetName val="Смета2 проект. раб."/>
      <sheetName val="данные"/>
      <sheetName val="Баланс"/>
      <sheetName val="Смета2_проект__раб_"/>
      <sheetName val="Смета_1"/>
      <sheetName val="Production and Spend"/>
      <sheetName val="OCK1"/>
      <sheetName val="1.3"/>
      <sheetName val="ИГ1"/>
      <sheetName val="К.рын"/>
      <sheetName val="Сводная смета"/>
      <sheetName val="Землеотвод"/>
      <sheetName val="шаблон"/>
      <sheetName val="СметаСводная павильон"/>
      <sheetName val="93-110"/>
      <sheetName val="Св. смета"/>
      <sheetName val="РБС ИЗМ1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свод1"/>
      <sheetName val="Таблица 4 АСУТП"/>
      <sheetName val="Input"/>
      <sheetName val="Calculation"/>
      <sheetName val="ст ГТМ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2002(v2)"/>
      <sheetName val="справ."/>
      <sheetName val="справ_"/>
      <sheetName val="2002_v2_"/>
      <sheetName val="СметаСводная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СметаСводная Колпино"/>
      <sheetName val="Подрядчики"/>
      <sheetName val="Январь"/>
      <sheetName val="Итог"/>
      <sheetName val="мсн"/>
      <sheetName val="мат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Смета терзем"/>
      <sheetName val="1155"/>
      <sheetName val="HP_и_оргтехника"/>
      <sheetName val="СМЕТА_проект"/>
      <sheetName val="Лист_опроса"/>
      <sheetName val="13_1"/>
      <sheetName val="выборка на22 июня"/>
      <sheetName val="свод_3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ЛЧ"/>
      <sheetName val="6.11 новый"/>
      <sheetName val="Opex personnel (Term facs)"/>
      <sheetName val="кп"/>
      <sheetName val="матер."/>
      <sheetName val="КП Прим (3)"/>
      <sheetName val="Lucent"/>
      <sheetName val="ИД СМР"/>
      <sheetName val="Пояснение "/>
      <sheetName val="3.1"/>
      <sheetName val="Коммерческие расходы"/>
      <sheetName val="смета 2 проект. работы"/>
      <sheetName val="Хар_"/>
      <sheetName val="С1_"/>
      <sheetName val="СтрЗапасов (2)"/>
      <sheetName val="НМ расчеты"/>
      <sheetName val="СС замеч с ответами"/>
      <sheetName val="начало"/>
      <sheetName val="Main"/>
      <sheetName val="УП _2004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Константы и результаты"/>
      <sheetName val="Лизинг"/>
      <sheetName val="расчет №3"/>
      <sheetName val="в работу"/>
      <sheetName val="1ПС"/>
      <sheetName val="20_Кредиты краткосрочные"/>
      <sheetName val="ц_199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Лист3"/>
      <sheetName val="АЧ"/>
      <sheetName val="Общая часть"/>
      <sheetName val="Табл.5"/>
      <sheetName val="Табл.2"/>
      <sheetName val="Исх.данные"/>
      <sheetName val="MAIN_PARAMETERS"/>
      <sheetName val="RSOILBAL"/>
      <sheetName val="ВКЕ"/>
      <sheetName val="rvldmrv"/>
      <sheetName val="Additives"/>
      <sheetName val="Ryazan"/>
      <sheetName val="Assumpt"/>
      <sheetName val="Control"/>
      <sheetName val="Параметры"/>
      <sheetName val="См №3 ОПР"/>
      <sheetName val="см.№6 АВЗУ и ГПЗУ"/>
      <sheetName val="Геофизика"/>
      <sheetName val="Геодезия"/>
      <sheetName val="Экология1"/>
      <sheetName val="НГХК"/>
      <sheetName val="КП к снег Рыбинская"/>
      <sheetName val="АУП"/>
      <sheetName val="CENTR"/>
      <sheetName val="4сд"/>
      <sheetName val="2сд"/>
      <sheetName val="7сд"/>
      <sheetName val="Lim"/>
      <sheetName val="Справочник"/>
      <sheetName val="PwC Copies from old models --&gt;&gt;"/>
      <sheetName val="Справочники"/>
      <sheetName val="Сравнение ДПН факт 06-07"/>
      <sheetName val="Journals"/>
      <sheetName val="Names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2.2 "/>
      <sheetName val="Расчет курса"/>
      <sheetName val="XLR_NoRangeSheet"/>
      <sheetName val="НЕДЕЛИ"/>
      <sheetName val="GD"/>
      <sheetName val="Баланс (Ф1)"/>
      <sheetName val="Перечень Заказчиков"/>
      <sheetName val="СП"/>
      <sheetName val="Капитальные затраты"/>
      <sheetName val="трансформация1"/>
      <sheetName val="Destination"/>
      <sheetName val="breakdown"/>
      <sheetName val="EKDEB90"/>
      <sheetName val="Коэф КВ"/>
      <sheetName val="кп (3)"/>
      <sheetName val=""/>
      <sheetName val="К"/>
      <sheetName val="Кал.план Жукова даты - не надо"/>
      <sheetName val="фонтан разбитый2"/>
      <sheetName val="накладная"/>
      <sheetName val="Акт"/>
      <sheetName val="Смета-Т"/>
      <sheetName val="Смета 3 Гидролог"/>
      <sheetName val="Записка СЦБ"/>
      <sheetName val="РС "/>
      <sheetName val="геолог"/>
      <sheetName val="Курс доллара"/>
      <sheetName val="Календарь новый"/>
      <sheetName val="15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Source lists"/>
      <sheetName val="Восстановл_Лист37"/>
      <sheetName val="Смета № 1 ИИ линия"/>
      <sheetName val="Дополнительные параметры"/>
      <sheetName val="Leistungsakt"/>
      <sheetName val="Свод объем"/>
      <sheetName val="Дог цена"/>
      <sheetName val="SakhNIPI5"/>
      <sheetName val="ПИР"/>
      <sheetName val="3труба (П)"/>
      <sheetName val="Объемы работ по ПВ"/>
      <sheetName val="16"/>
      <sheetName val="Таблица 5"/>
      <sheetName val="Таблица 3"/>
      <sheetName val="1.401.2"/>
      <sheetName val="PO Data"/>
      <sheetName val="Rub"/>
      <sheetName val="ПД"/>
      <sheetName val="РСС_АУ"/>
      <sheetName val="Раб.АУ"/>
      <sheetName val="Коэф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М_1"/>
      <sheetName val="Акт выбора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Сметы за сопровождение"/>
      <sheetName val="СМ_x000b__x0011__x0012__x000c__x0011__x0011__x0011__x0011__x0011__x0011_"/>
      <sheetName val="ᄀᄀᄀᄀᄀᄀᄀᄀᄀᄀᄀᄀᄀᄀᄀᄀᄀ"/>
      <sheetName val="См.3_АСУ"/>
      <sheetName val="Полигон - ИЭИ "/>
      <sheetName val="Ко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BACT"/>
      <sheetName val="АСУ-линия-1"/>
      <sheetName val="ТЗ АСУ-1"/>
      <sheetName val="2-stage"/>
      <sheetName val="лч и кам"/>
      <sheetName val="Бл.электр."/>
      <sheetName val="2 Геология"/>
      <sheetName val="Объем работ"/>
      <sheetName val="MararashAA"/>
      <sheetName val="ПРОЦЕНТЫ"/>
      <sheetName val="Виды работ АСО"/>
      <sheetName val="таблица_руко_x0019__x0015__x0009__x0003__x000c__x0011__x0011_"/>
      <sheetName val="Норм"/>
      <sheetName val="ФОТ для смет"/>
      <sheetName val="ЛС_РЕС"/>
      <sheetName val="Общ"/>
      <sheetName val="_x0000__x0000_"/>
      <sheetName val="Форма 2.1"/>
      <sheetName val="БД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мета"/>
      <sheetName val="СметаСводная снег"/>
      <sheetName val="Дополнительные параметры"/>
      <sheetName val="топо"/>
      <sheetName val="свод"/>
      <sheetName val="Лист2"/>
      <sheetName val="93-110"/>
      <sheetName val="Лист опроса"/>
      <sheetName val="к.84-к.83"/>
      <sheetName val="Шкаф"/>
      <sheetName val="Коэфф1."/>
      <sheetName val="Прайс лист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см8"/>
      <sheetName val="Данные для расчёта сметы"/>
      <sheetName val="Зап-3- СЦБ"/>
      <sheetName val="СМЕТА проект"/>
      <sheetName val="ТИТУЛ"/>
      <sheetName val="6.14"/>
      <sheetName val="ОБЩЕСТВА"/>
      <sheetName val="6.3.1"/>
      <sheetName val="6.20"/>
      <sheetName val="6.4.1"/>
      <sheetName val="ПРОГНОЗ_1"/>
      <sheetName val="Лист1"/>
      <sheetName val="6_11_1  сторонние"/>
      <sheetName val="установки"/>
      <sheetName val="8.14 КР (списание)ОПСТИКР"/>
      <sheetName val="Стр1"/>
      <sheetName val="Список"/>
      <sheetName val="эл_химз_"/>
      <sheetName val="геология_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Прилож"/>
      <sheetName val="ПДР"/>
      <sheetName val="DATA"/>
      <sheetName val="вариант"/>
      <sheetName val="Обновление"/>
      <sheetName val="Цена"/>
      <sheetName val="Product"/>
      <sheetName val="Summary"/>
      <sheetName val="Пример расчета"/>
      <sheetName val="свод 2"/>
      <sheetName val="Табл38-7"/>
      <sheetName val="все"/>
      <sheetName val="информация"/>
      <sheetName val="Кредиты"/>
      <sheetName val="СметаСводная Рыб"/>
      <sheetName val="Нормы"/>
      <sheetName val="13.1"/>
      <sheetName val="Текущие цены"/>
      <sheetName val="рабочий"/>
      <sheetName val="окраска"/>
      <sheetName val="отчет эл_эн  2000"/>
      <sheetName val="Счет-Фактура"/>
      <sheetName val="График"/>
      <sheetName val="2002(v2)"/>
      <sheetName val="справ."/>
      <sheetName val="справ_"/>
      <sheetName val="2002_v2_"/>
      <sheetName val="эл_химз_1"/>
      <sheetName val="геология_1"/>
      <sheetName val="СметаСводная_снег"/>
      <sheetName val="Лист_опроса"/>
      <sheetName val="к_84-к_83"/>
      <sheetName val="Коэфф1_"/>
      <sheetName val="Прайс_лист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Данные_для_расчёта_сметы"/>
      <sheetName val="Зап-3-_СЦБ"/>
      <sheetName val="СМЕТА_проект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Пример_расчета"/>
      <sheetName val="свод_2"/>
      <sheetName val="СметаСводная_Рыб"/>
      <sheetName val="13_1"/>
      <sheetName val="Текущие_цены"/>
      <sheetName val="отчет_эл_эн__2000"/>
      <sheetName val="справ_1"/>
      <sheetName val="Дополнительные_параметры"/>
      <sheetName val="ПОДПИСИ"/>
      <sheetName val="РАСЧЕТ"/>
      <sheetName val="КП (2)"/>
      <sheetName val="Бюджет"/>
      <sheetName val="Norm"/>
      <sheetName val="6.3"/>
      <sheetName val="6.7"/>
      <sheetName val="6.3.1.3"/>
      <sheetName val="К.рын"/>
      <sheetName val="Сводная смета"/>
      <sheetName val="sapactivexlhiddensheet"/>
      <sheetName val="свод 3"/>
      <sheetName val="ID"/>
      <sheetName val="СС"/>
      <sheetName val="Opex personnel (Term facs)"/>
      <sheetName val="ЭХЗ"/>
      <sheetName val="РасчетКомандир1"/>
      <sheetName val="РасчетКомандир2"/>
      <sheetName val="Коэфф"/>
      <sheetName val="Смета2 проект. раб."/>
      <sheetName val="Суточная"/>
      <sheetName val="Смета 1"/>
      <sheetName val="РП"/>
      <sheetName val="данные"/>
      <sheetName val="Баланс"/>
      <sheetName val="Смета2_проект__раб_"/>
      <sheetName val="Смета_1"/>
      <sheetName val="Production and Spend"/>
      <sheetName val="OCK1"/>
      <sheetName val="1.3"/>
      <sheetName val="ИГ1"/>
      <sheetName val="Землеотвод"/>
      <sheetName val="шаблон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ная"/>
      <sheetName val="Разработка проекта"/>
      <sheetName val="КП НовоКов"/>
      <sheetName val="СметаСводная 1 оч"/>
      <sheetName val="См_1_наруж_водопровод"/>
      <sheetName val="Разработка_проекта"/>
      <sheetName val="КП_НовоКов"/>
      <sheetName val="СметаСводная_1_оч"/>
      <sheetName val="Переменные и константы"/>
      <sheetName val="пятилетка"/>
      <sheetName val="мониторинг"/>
      <sheetName val="свод (2)"/>
      <sheetName val="Калплан ОИ2 Макм крестики"/>
      <sheetName val="СметаСводная павильон"/>
      <sheetName val="Св. смета"/>
      <sheetName val="РБС ИЗМ1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сохранить"/>
      <sheetName val="5ОборРабМест(HP)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свод1"/>
      <sheetName val="Таблица 4 АСУТП"/>
      <sheetName val="Input"/>
      <sheetName val="Calculation"/>
      <sheetName val="ст ГТМ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СметаСводная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СметаСводная Колпино"/>
      <sheetName val="Подрядчики"/>
      <sheetName val="Январь"/>
      <sheetName val="Итог"/>
      <sheetName val="мсн"/>
      <sheetName val="мат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6.11 новый"/>
      <sheetName val="Капитальные затраты"/>
      <sheetName val="накладная"/>
      <sheetName val="Акт"/>
      <sheetName val="1"/>
      <sheetName val="Пояснение "/>
      <sheetName val="3.1"/>
      <sheetName val="Коммерческие расходы"/>
      <sheetName val="RSOILBAL"/>
      <sheetName val="смета 2 проект. работы"/>
      <sheetName val="4сд"/>
      <sheetName val="2сд"/>
      <sheetName val="7сд"/>
      <sheetName val="MAIN_PARAMETERS"/>
      <sheetName val="СС замеч с ответами"/>
      <sheetName val="начало"/>
      <sheetName val="Main"/>
      <sheetName val="УП _2004"/>
      <sheetName val="в работу"/>
      <sheetName val="1ПС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20_Кредиты краткосрочные"/>
      <sheetName val="Перечень Заказчиков"/>
      <sheetName val="2.2 "/>
      <sheetName val="Хар_"/>
      <sheetName val="С1_"/>
      <sheetName val="СтрЗапасов (2)"/>
      <sheetName val="Lim"/>
      <sheetName val="Справочник"/>
      <sheetName val="PwC Copies from old models --&gt;&gt;"/>
      <sheetName val="Справочники"/>
      <sheetName val="Journals"/>
      <sheetName val="ц_1991"/>
      <sheetName val="rvldmrv"/>
      <sheetName val="Сравнение ДПН факт 06-07"/>
      <sheetName val="Параметры"/>
      <sheetName val="трансформация1"/>
      <sheetName val="НМ расчеты"/>
      <sheetName val="Names"/>
      <sheetName val="breakdown"/>
      <sheetName val="Destination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EKDEB90"/>
      <sheetName val="Коэф КВ"/>
      <sheetName val="К"/>
      <sheetName val="Смета терзем"/>
      <sheetName val="Кал.план Жукова даты - не надо"/>
      <sheetName val="кп"/>
      <sheetName val="матер."/>
      <sheetName val="КП Прим (3)"/>
      <sheetName val="Лист3"/>
      <sheetName val="АЧ"/>
      <sheetName val="кп (3)"/>
      <sheetName val="СП"/>
      <sheetName val="фонтан разбитый2"/>
      <sheetName val="Баланс (Ф1)"/>
      <sheetName val="Смета-Т"/>
      <sheetName val=""/>
      <sheetName val="Смета 3 Гидролог"/>
      <sheetName val="Записка СЦБ"/>
      <sheetName val="ИПЦ2002-2004"/>
      <sheetName val="РС 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1.401.2"/>
      <sheetName val="Rub"/>
      <sheetName val="Общая часть"/>
      <sheetName val="Табл.5"/>
      <sheetName val="свод_ИИР"/>
      <sheetName val="1155"/>
      <sheetName val="HP_и_оргтехника"/>
      <sheetName val="выборка на22 июня"/>
      <sheetName val="свод_3"/>
      <sheetName val="ОПС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ЛЧ"/>
      <sheetName val="Lucent"/>
      <sheetName val="ИД СМР"/>
      <sheetName val="Табл.2"/>
      <sheetName val="Исх.данные"/>
      <sheetName val="ВКЕ"/>
      <sheetName val="Additives"/>
      <sheetName val="Ryazan"/>
      <sheetName val="Assumpt"/>
      <sheetName val="Control"/>
      <sheetName val="См №3 ОПР"/>
      <sheetName val="см.№6 АВЗУ и ГПЗУ"/>
      <sheetName val="Геофизика"/>
      <sheetName val="Геодезия"/>
      <sheetName val="Экология1"/>
      <sheetName val="АУП"/>
      <sheetName val="CENTR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Расчет курса"/>
      <sheetName val="XLR_NoRangeSheet"/>
      <sheetName val="НЕДЕЛИ"/>
      <sheetName val="GD"/>
      <sheetName val="геолог"/>
      <sheetName val="Курс доллара"/>
      <sheetName val="Календарь новый"/>
      <sheetName val="15"/>
      <sheetName val="Source lists"/>
      <sheetName val="Восстановл_Лист37"/>
      <sheetName val="Смета № 1 ИИ линия"/>
      <sheetName val="Leistungsakt"/>
      <sheetName val="Свод объем"/>
      <sheetName val="Дог цена"/>
      <sheetName val="SakhNIPI5"/>
      <sheetName val="ПИР"/>
      <sheetName val="3труба (П)"/>
      <sheetName val="Объемы работ по ПВ"/>
      <sheetName val="16"/>
      <sheetName val="Таблица 5"/>
      <sheetName val="Таблица 3"/>
      <sheetName val="PO Data"/>
      <sheetName val="ПД"/>
      <sheetName val="РСС_АУ"/>
      <sheetName val="Раб.АУ"/>
      <sheetName val="Коэф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Прибыль_опл"/>
      <sheetName val="Амур_ДОН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М_1"/>
      <sheetName val="Акт выбора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Сметы за сопровождение"/>
      <sheetName val="ПС_x0000__x0000__x0000__x0000__x0000__x0000_"/>
      <sheetName val="эл_химз_2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СМ_x000b__x0011__x0012__x000c__x0011__x0011__x0011__x0011__x0011__x0011_"/>
      <sheetName val="ᄀᄀᄀᄀᄀᄀᄀᄀᄀᄀᄀᄀᄀᄀᄀᄀᄀ"/>
      <sheetName val="См.3_АСУ"/>
      <sheetName val="Полигон - ИЭИ "/>
      <sheetName val="Ко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BACT"/>
      <sheetName val="АСУ-линия-1"/>
      <sheetName val="ТЗ АСУ-1"/>
      <sheetName val="2-stage"/>
      <sheetName val="лч и кам"/>
      <sheetName val="Бл.электр."/>
      <sheetName val="2 Геология"/>
      <sheetName val="Объем работ"/>
      <sheetName val="MararashAA"/>
      <sheetName val="ПРОЦЕНТЫ"/>
      <sheetName val="Виды работ АСО"/>
      <sheetName val="таблица_руко_x0019__x0015__x0009__x0003__x000c__x0011__x0011_"/>
      <sheetName val="Норм"/>
      <sheetName val="ФОТ для смет"/>
      <sheetName val="ЛС_РЕС"/>
      <sheetName val="Общ"/>
      <sheetName val="_x0000__x0000_"/>
      <sheetName val="таблица_руко_x0019__x0015_ _x0003__x000c__x0011__x0011_"/>
      <sheetName val="КБК ДПК"/>
      <sheetName val="СМ"/>
      <sheetName val="СМИС"/>
      <sheetName val="Main list"/>
      <sheetName val="ПД-2.2"/>
      <sheetName val="6"/>
      <sheetName val="1.14"/>
      <sheetName val="1.7"/>
      <sheetName val="#ССЫЛКА"/>
      <sheetName val="Вспом."/>
      <sheetName val="УКП"/>
      <sheetName val="БД"/>
      <sheetName val="Лист4"/>
      <sheetName val="Общий"/>
      <sheetName val="ТабР"/>
      <sheetName val="ЕТС (ф)"/>
      <sheetName val="база"/>
      <sheetName val="3_гидромет"/>
      <sheetName val="эл_химз_3"/>
      <sheetName val="13_11"/>
      <sheetName val="КП_(2)1"/>
      <sheetName val="свод_31"/>
      <sheetName val="СМЕТА_проект1"/>
      <sheetName val="1_31"/>
      <sheetName val="К_рын1"/>
      <sheetName val="Сводная_смета1"/>
      <sheetName val="Переменные_и_константы1"/>
      <sheetName val="СметаСводная_павильон1"/>
      <sheetName val="СметаСводная_снег1"/>
      <sheetName val="Лист_опроса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Смета_1свод1"/>
      <sheetName val="таблица_руководству1"/>
      <sheetName val="Суточная_добыча_за_неделю1"/>
      <sheetName val="Прибыль_опл1"/>
      <sheetName val="№5_СУБ_Инж_защ1"/>
      <sheetName val="HP_и_оргтехника1"/>
      <sheetName val="Таблица_4_АСУТП1"/>
      <sheetName val="ПДР_ООО_&quot;Юкос_ФБЦ&quot;1"/>
      <sheetName val="исходные_данные1"/>
      <sheetName val="расчетные_таблицы1"/>
      <sheetName val="Амур_ДОН1"/>
      <sheetName val="Б_Сатка1"/>
      <sheetName val="справ_2"/>
      <sheetName val="Перечень_ИУ1"/>
      <sheetName val="3_1_ТХ1"/>
      <sheetName val="СметаСводная_Колпино1"/>
      <sheetName val="3_51"/>
      <sheetName val="Смета_21"/>
      <sheetName val="Ачинский_НПЗ1"/>
      <sheetName val="См3_СЦБ-зап1"/>
      <sheetName val="Хаттон_90_90_Femco1"/>
      <sheetName val="свод_общ1"/>
      <sheetName val="Смета_5_2__Кусты25,29,31,651"/>
      <sheetName val="р_Волхов1"/>
      <sheetName val="Opex_personnel_(Term_facs)1"/>
      <sheetName val="Капитальные_затраты1"/>
      <sheetName val="Пояснение_"/>
      <sheetName val="3_11"/>
      <sheetName val="Коммерческие_расходы1"/>
      <sheetName val="смета_2_проект__работы"/>
      <sheetName val="СС_замеч_с_ответами1"/>
      <sheetName val="УП__20041"/>
      <sheetName val="в_работу1"/>
      <sheetName val="3_21"/>
      <sheetName val="3_31"/>
      <sheetName val="Р2_11"/>
      <sheetName val="Р2_21"/>
      <sheetName val="Удельные(проф_)1"/>
      <sheetName val="Константы_и_результаты1"/>
      <sheetName val="расчет_№31"/>
      <sheetName val="20_Кредиты_краткосрочные1"/>
      <sheetName val="Перечень_Заказчиков1"/>
      <sheetName val="2_2_1"/>
      <sheetName val="СтрЗапасов_(2)"/>
      <sheetName val="PwC_Copies_from_old_models_--&gt;&gt;"/>
      <sheetName val="Сравнение_ДПН_факт_06-07"/>
      <sheetName val="НМ_расчеты"/>
      <sheetName val="КП_к_снег_Рыбинская1"/>
      <sheetName val="Коэф_КВ"/>
      <sheetName val="Смета_терзем"/>
      <sheetName val="Кал_план_Жукова_даты_-_не_надо"/>
      <sheetName val="матер_"/>
      <sheetName val="КП_Прим_(3)"/>
      <sheetName val="кп_(3)"/>
      <sheetName val="фонтан_разбитый2"/>
      <sheetName val="РС_"/>
      <sheetName val="Баланс_(Ф1)"/>
      <sheetName val="Смета_3_Гидролог"/>
      <sheetName val="Записка_СЦБ"/>
      <sheetName val="Раб_АУ"/>
      <sheetName val="Source_lists"/>
      <sheetName val="Общая_часть"/>
      <sheetName val="Табл_51"/>
      <sheetName val="Табл_21"/>
      <sheetName val="См_№3_ОПР"/>
      <sheetName val="см_№6_АВЗУ_и_ГПЗУ"/>
      <sheetName val="Input_Assumptions"/>
      <sheetName val="см_№1_1_Геодезические_работы_"/>
      <sheetName val="см_№1_4_Экология_"/>
      <sheetName val="АСУ_ТП_1_этап_ПД"/>
      <sheetName val="Расчет_курса"/>
      <sheetName val="ПС"/>
      <sheetName val="ДДС_(Форма_№3)"/>
      <sheetName val="Курс_доллара"/>
      <sheetName val="Календарь_новый"/>
      <sheetName val="Смета_№_1_ИИ_линия"/>
      <sheetName val="Свод_объем"/>
      <sheetName val="Дог_цена"/>
      <sheetName val="выборка_на22_июня"/>
      <sheetName val="3труба_(П)"/>
      <sheetName val="Объемы_работ_по_ПВ"/>
      <sheetName val="Таблица_5"/>
      <sheetName val="Таблица_3"/>
      <sheetName val="1_401_2"/>
      <sheetName val="PO_Data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Сводная_"/>
      <sheetName val="7_ТХ_Сети_(кор)"/>
      <sheetName val="Tier_311208"/>
      <sheetName val="Акт_выбора"/>
      <sheetName val="См_№7_Эл_"/>
      <sheetName val="См_№8_Пож_"/>
      <sheetName val="См_№3_ВиК"/>
      <sheetName val="Сметы_за_сопровождение"/>
      <sheetName val="геология_3"/>
      <sheetName val="6_143"/>
      <sheetName val="6_3_13"/>
      <sheetName val="6_203"/>
      <sheetName val="6_4_13"/>
      <sheetName val="6_11_1__сторонние3"/>
      <sheetName val="8_14_КР_(списание)ОПСТИКР3"/>
      <sheetName val="Данные_для_расчёта_сметы2"/>
      <sheetName val="6_14_КР2"/>
      <sheetName val="Пример_расчета2"/>
      <sheetName val="свод_22"/>
      <sheetName val="Зап-3-_СЦБ2"/>
      <sheetName val="СметаСводная_Рыб2"/>
      <sheetName val="Текущие_цены2"/>
      <sheetName val="отчет_эл_эн__20002"/>
      <sheetName val="к_84-к_832"/>
      <sheetName val="Коэфф1_2"/>
      <sheetName val="6_31"/>
      <sheetName val="6_71"/>
      <sheetName val="6_3_1_31"/>
      <sheetName val="Смета2_проект__раб_2"/>
      <sheetName val="Смета_12"/>
      <sheetName val="Production_and_Spend1"/>
      <sheetName val="Прайс_лист2"/>
      <sheetName val="См_1_наруж_водопровод2"/>
      <sheetName val="Разработка_проекта2"/>
      <sheetName val="КП_НовоКов2"/>
      <sheetName val="СметаСводная_1_оч2"/>
      <sheetName val="свод_(2)1"/>
      <sheetName val="Калплан_ОИ2_Макм_крестики1"/>
      <sheetName val="Св__смета1"/>
      <sheetName val="РБС_ИЗМ11"/>
      <sheetName val="Таблица_21"/>
      <sheetName val="ст_ГТМ1"/>
      <sheetName val="кп_ГК1"/>
      <sheetName val="Справочные_данные1"/>
      <sheetName val="суб_подряд2"/>
      <sheetName val="ПСБ_-_ОЭ2"/>
      <sheetName val="смета_СИД1"/>
      <sheetName val="ресурсная_вед_1"/>
      <sheetName val="КП_к_ГК1"/>
      <sheetName val="изыскания_21"/>
      <sheetName val="Калплан_Кра1"/>
      <sheetName val="6_11_новый1"/>
      <sheetName val="См_3_АСУ"/>
      <sheetName val="Полигон_-_ИЭИ_"/>
      <sheetName val="Смета_ТЗ_АСУ-16"/>
      <sheetName val="База_Геодезия"/>
      <sheetName val="База_Геология"/>
      <sheetName val="База_Геофизика"/>
      <sheetName val="4_1_1"/>
      <sheetName val="исп_1_1_1"/>
      <sheetName val="База_Гидро"/>
      <sheetName val="4_2_1"/>
      <sheetName val="исп_1_1_2"/>
      <sheetName val="Исп__смета_этап_1_1,_1_2"/>
      <sheetName val="Исх1"/>
      <sheetName val="8"/>
      <sheetName val="basa"/>
      <sheetName val="СВ 2"/>
      <sheetName val="1.2_"/>
      <sheetName val="Base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кап.ремонт"/>
      <sheetName val="Обор"/>
      <sheetName val="пофакторный"/>
      <sheetName val="РАСШИФ_ЦЕХ_РАСХ"/>
      <sheetName val="топ"/>
      <sheetName val="анализ 2003_2004исполнение МТО"/>
      <sheetName val="Дог_рас"/>
      <sheetName val="Ограничения шаблон"/>
      <sheetName val="Лист"/>
      <sheetName val="Исх"/>
      <sheetName val="исх-данные"/>
      <sheetName val="Исх."/>
      <sheetName val="ИД ПНР"/>
      <sheetName val="Технический лист"/>
      <sheetName val="Причины отклонений"/>
      <sheetName val="Статус работы"/>
      <sheetName val="Уровень графика"/>
      <sheetName val="Тестовый"/>
      <sheetName val="Panduit"/>
      <sheetName val="Приложение 2"/>
      <sheetName val=" Свод"/>
      <sheetName val="Пра"/>
      <sheetName val="исключ ЭХЗ"/>
      <sheetName val="БДР"/>
      <sheetName val="геол"/>
      <sheetName val="аванс по ОС"/>
      <sheetName val="Авансы выданные"/>
      <sheetName val="Кред"/>
      <sheetName val="ДЗ"/>
      <sheetName val="Кред. задолж."/>
      <sheetName val="Прочие"/>
      <sheetName val="Сводный"/>
      <sheetName val="ГАЗ_камаз"/>
      <sheetName val="41"/>
      <sheetName val="Договорная цена"/>
      <sheetName val="Имя"/>
      <sheetName val="№2Гидромет."/>
      <sheetName val="№2Геолог"/>
      <sheetName val="№2Геолог с.п."/>
      <sheetName val="№3Экологи (2этап)"/>
      <sheetName val="Исходная"/>
      <sheetName val="Должности"/>
      <sheetName val="3 Сл.-структура затрат"/>
      <sheetName val="const"/>
      <sheetName val="расчеты"/>
      <sheetName val="ПС 110 кВ (доп)"/>
      <sheetName val="ПД-2.1"/>
      <sheetName val="Пра_x0000_с_лист"/>
      <sheetName val="Смета 7"/>
      <sheetName val="Бл_электр_"/>
      <sheetName val="Прил.5 СС"/>
      <sheetName val="расчет вязкости"/>
      <sheetName val="Сравнение с Finder - ДНС-5"/>
      <sheetName val="Исх. данные"/>
      <sheetName val="эл_химз_4"/>
      <sheetName val="13_12"/>
      <sheetName val="КП_(2)2"/>
      <sheetName val="свод_32"/>
      <sheetName val="СМЕТА_проект2"/>
      <sheetName val="1_32"/>
      <sheetName val="К_рын2"/>
      <sheetName val="Сводная_смета2"/>
      <sheetName val="Переменные_и_константы2"/>
      <sheetName val="СметаСводная_павильон2"/>
      <sheetName val="СметаСводная_снег2"/>
      <sheetName val="Лист_опроса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Смета_1свод2"/>
      <sheetName val="таблица_руководству2"/>
      <sheetName val="Суточная_добыча_за_неделю2"/>
      <sheetName val="Прибыль_опл2"/>
      <sheetName val="№5_СУБ_Инж_защ2"/>
      <sheetName val="HP_и_оргтехника2"/>
      <sheetName val="Таблица_4_АСУТП2"/>
      <sheetName val="ПДР_ООО_&quot;Юкос_ФБЦ&quot;2"/>
      <sheetName val="исходные_данные2"/>
      <sheetName val="расчетные_таблицы2"/>
      <sheetName val="Амур_ДОН2"/>
      <sheetName val="Б_Сатка2"/>
      <sheetName val="справ_3"/>
      <sheetName val="Перечень_ИУ2"/>
      <sheetName val="3_1_ТХ2"/>
      <sheetName val="СметаСводная_Колпино2"/>
      <sheetName val="3_52"/>
      <sheetName val="Смета_22"/>
      <sheetName val="Ачинский_НПЗ2"/>
      <sheetName val="См3_СЦБ-зап2"/>
      <sheetName val="Хаттон_90_90_Femco2"/>
      <sheetName val="свод_общ2"/>
      <sheetName val="Смета_5_2__Кусты25,29,31,652"/>
      <sheetName val="р_Волхов2"/>
      <sheetName val="Opex_personnel_(Term_facs)2"/>
      <sheetName val="Капитальные_затраты2"/>
      <sheetName val="Пояснение_1"/>
      <sheetName val="3_12"/>
      <sheetName val="Коммерческие_расходы2"/>
      <sheetName val="смета_2_проект__работы1"/>
      <sheetName val="СС_замеч_с_ответами2"/>
      <sheetName val="УП__20042"/>
      <sheetName val="в_работу2"/>
      <sheetName val="3_22"/>
      <sheetName val="3_32"/>
      <sheetName val="Р2_12"/>
      <sheetName val="Р2_22"/>
      <sheetName val="Удельные(проф_)2"/>
      <sheetName val="Константы_и_результаты2"/>
      <sheetName val="расчет_№32"/>
      <sheetName val="20_Кредиты_краткосрочные2"/>
      <sheetName val="Перечень_Заказчиков2"/>
      <sheetName val="2_2_2"/>
      <sheetName val="СтрЗапасов_(2)1"/>
      <sheetName val="PwC_Copies_from_old_models_--&gt;1"/>
      <sheetName val="Сравнение_ДПН_факт_06-071"/>
      <sheetName val="НМ_расчеты1"/>
      <sheetName val="КП_к_снег_Рыбинская2"/>
      <sheetName val="Коэф_КВ1"/>
      <sheetName val="Смета_терзем1"/>
      <sheetName val="Кал_план_Жукова_даты_-_не_надо1"/>
      <sheetName val="матер_1"/>
      <sheetName val="КП_Прим_(3)1"/>
      <sheetName val="кп_(3)1"/>
      <sheetName val="фонтан_разбитый21"/>
      <sheetName val="Баланс_(Ф1)1"/>
      <sheetName val="Смета_3_Гидролог1"/>
      <sheetName val="Записка_СЦБ1"/>
      <sheetName val="РС_1"/>
      <sheetName val="Раб_АУ1"/>
      <sheetName val="Source_lists1"/>
      <sheetName val="Общая_часть1"/>
      <sheetName val="Табл_52"/>
      <sheetName val="Табл_22"/>
      <sheetName val="См_№3_ОПР1"/>
      <sheetName val="см_№6_АВЗУ_и_ГПЗУ1"/>
      <sheetName val="Input_Assumptions1"/>
      <sheetName val="см_№1_1_Геодезические_работы_1"/>
      <sheetName val="см_№1_4_Экология_1"/>
      <sheetName val="АСУ_ТП_1_этап_ПД1"/>
      <sheetName val="Расчет_курса1"/>
      <sheetName val="ДДС_(Форма_№3)1"/>
      <sheetName val="Курс_доллара1"/>
      <sheetName val="Календарь_новый1"/>
      <sheetName val="Смета_№_1_ИИ_линия1"/>
      <sheetName val="Дополнительные_параметры1"/>
      <sheetName val="Свод_объем1"/>
      <sheetName val="Дог_цена1"/>
      <sheetName val="выборка_на22_июня1"/>
      <sheetName val="3труба_(П)1"/>
      <sheetName val="Объемы_работ_по_ПВ1"/>
      <sheetName val="Таблица_51"/>
      <sheetName val="Таблица_31"/>
      <sheetName val="1_401_21"/>
      <sheetName val="PO_Data1"/>
      <sheetName val="р_Нева2"/>
      <sheetName val="р_Молога2"/>
      <sheetName val="18_рек_Ю-Х2"/>
      <sheetName val="нпс_Палкино2"/>
      <sheetName val="Россия_-_Китай2"/>
      <sheetName val="КМ_210-2382"/>
      <sheetName val="БТС-2_км_405-4592"/>
      <sheetName val="БТС-2_км_405-4532"/>
      <sheetName val="БТС-2_км_313-3522"/>
      <sheetName val="БТС-2_км326-3522"/>
      <sheetName val="Улейма_И2"/>
      <sheetName val="Белая_УБКА2"/>
      <sheetName val="км_72-75р_Левоннька2"/>
      <sheetName val="киенгоп-н_Челны_км_104-2062"/>
      <sheetName val="ВЛ_Урдома2"/>
      <sheetName val="Вл_Микунь_Урдома2"/>
      <sheetName val="ВЛ_Синдор-Микунь2"/>
      <sheetName val="Тон_Чермасан2"/>
      <sheetName val="Трасса_км_16-1472"/>
      <sheetName val="трасса_0-762"/>
      <sheetName val="Колва_782"/>
      <sheetName val="Гидрология__р_Колва_км_382"/>
      <sheetName val="ПСП_2"/>
      <sheetName val="Новая_сводка_(до_бюджета)_(2)3"/>
      <sheetName val="Что_пришло3"/>
      <sheetName val="влад-таблица_(2)3"/>
      <sheetName val="Новая_сводка_(до_бюджета)3"/>
      <sheetName val="Новая_сводка3"/>
      <sheetName val="Общие_расходы3"/>
      <sheetName val="Новая_сводка_(по_бюджету)3"/>
      <sheetName val="Íîâàÿ_ñâîäêà_(äî_áþäæåòà)_(2)3"/>
      <sheetName val="×òî_ïðèøëî3"/>
      <sheetName val="âëàä-òàáëèöà_(2)3"/>
      <sheetName val="Íîâàÿ_ñâîäêà_(äî_áþäæåòà)3"/>
      <sheetName val="Íîâàÿ_ñâîäêà3"/>
      <sheetName val="Îáùèå_ðàñõîäû3"/>
      <sheetName val="Íîâàÿ_ñâîäêà_(ïî_áþäæåòó)3"/>
      <sheetName val="6_10_13"/>
      <sheetName val="6_7_3_ТН3"/>
      <sheetName val="6_13"/>
      <sheetName val="6_52-свод2"/>
      <sheetName val="Сводная_1"/>
      <sheetName val="7_ТХ_Сети_(кор)1"/>
      <sheetName val="Tier_3112081"/>
      <sheetName val="Акт_выбора1"/>
      <sheetName val="См_№7_Эл_1"/>
      <sheetName val="См_№8_Пож_1"/>
      <sheetName val="См_№3_ВиК1"/>
      <sheetName val="Сметы_за_сопровождение1"/>
      <sheetName val="ЕТС_(ф)"/>
      <sheetName val="Форма 2.1"/>
      <sheetName val="W28"/>
      <sheetName val="См_2 Шатурс сети  проект работы"/>
      <sheetName val="автоматизация РД"/>
      <sheetName val="РабПр"/>
      <sheetName val="Акт-Смета_30"/>
      <sheetName val="Смета 2 эл.монтаж"/>
      <sheetName val="Смета 1 общестроит"/>
      <sheetName val="ДЦ"/>
      <sheetName val=" Оборудование  end"/>
      <sheetName val="сводная (2)"/>
      <sheetName val="Акт выполненных работ 46"/>
      <sheetName val="SMW_Служебная"/>
      <sheetName val="Промер глуб"/>
      <sheetName val="SENSITIVITY"/>
      <sheetName val="Расчет №1.1"/>
      <sheetName val="Расчет №2.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 refreshError="1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/>
      <sheetData sheetId="1048"/>
      <sheetData sheetId="1049"/>
      <sheetData sheetId="1050"/>
      <sheetData sheetId="105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/>
      <sheetData sheetId="1063" refreshError="1"/>
      <sheetData sheetId="1064" refreshError="1"/>
      <sheetData sheetId="1065"/>
      <sheetData sheetId="1066"/>
      <sheetData sheetId="1067"/>
      <sheetData sheetId="1068" refreshError="1"/>
      <sheetData sheetId="1069" refreshError="1"/>
      <sheetData sheetId="1070" refreshError="1"/>
      <sheetData sheetId="1071">
        <row r="1">
          <cell r="B1">
            <v>0</v>
          </cell>
        </row>
      </sheetData>
      <sheetData sheetId="1072" refreshError="1"/>
      <sheetData sheetId="1073" refreshError="1"/>
      <sheetData sheetId="1074" refreshError="1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1">
          <cell r="B1">
            <v>0</v>
          </cell>
        </row>
      </sheetData>
      <sheetData sheetId="1088"/>
      <sheetData sheetId="1089">
        <row r="1">
          <cell r="B1">
            <v>0</v>
          </cell>
        </row>
      </sheetData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Курс доллара"/>
      <sheetName val="Лист3"/>
      <sheetName val="Данные для расчёта сметы"/>
      <sheetName val="топография"/>
      <sheetName val="Курс_доллара"/>
      <sheetName val="ПО 1-7"/>
      <sheetName val="СметаСводная"/>
      <sheetName val="Коэфф1."/>
      <sheetName val="ставки"/>
      <sheetName val="Лист7"/>
      <sheetName val="свод 2"/>
      <sheetName val="Смета"/>
      <sheetName val="СметаСводная Колпино"/>
      <sheetName val="Смета-Т"/>
      <sheetName val="ps198"/>
      <sheetName val="ОПС"/>
      <sheetName val="Дог цена"/>
      <sheetName val="Курс $"/>
      <sheetName val="к-ты"/>
      <sheetName val="Сводный СР"/>
      <sheetName val="ИМЯ"/>
      <sheetName val="Имя2"/>
      <sheetName val="консолидация"/>
      <sheetName val="счет-фактура"/>
      <sheetName val="Сводная смета"/>
      <sheetName val="выборка на22 июня"/>
      <sheetName val="ид смр"/>
      <sheetName val="Курс_доллара1"/>
      <sheetName val="Данные_для_расчёта_сметы"/>
      <sheetName val="Коэфф1_"/>
      <sheetName val="ПО_1-7"/>
      <sheetName val="свод_2"/>
      <sheetName val="СметаСводная_Колпино"/>
      <sheetName val="Дог_цена"/>
      <sheetName val="Курс_$"/>
      <sheetName val="Сводный_СР"/>
      <sheetName val="Справка"/>
      <sheetName val="Новый справочник БДР"/>
      <sheetName val="Курсы"/>
      <sheetName val="Payments 2006"/>
      <sheetName val="выборка_на22_июня"/>
      <sheetName val="DATA"/>
      <sheetName val="ЛЧ Р"/>
      <sheetName val="СметаСводная Рыб"/>
      <sheetName val="хар_"/>
      <sheetName val="с1_"/>
      <sheetName val="выборка заказчик"/>
      <sheetName val="спр1"/>
      <sheetName val="ИД"/>
      <sheetName val="спецификация"/>
      <sheetName val="Общ"/>
      <sheetName val="шаблон"/>
      <sheetName val="смета проект"/>
      <sheetName val="терм.обез"/>
      <sheetName val="химреаг."/>
      <sheetName val="12"/>
      <sheetName val="оборуд_1"/>
      <sheetName val="Расчет_ССР"/>
      <sheetName val="(свод)"/>
      <sheetName val="D"/>
      <sheetName val="Списки"/>
      <sheetName val="Ресурсы"/>
      <sheetName val="Объекты"/>
      <sheetName val="исх-данные"/>
    </sheetNames>
    <sheetDataSet>
      <sheetData sheetId="0">
        <row r="2">
          <cell r="A2">
            <v>25</v>
          </cell>
        </row>
      </sheetData>
      <sheetData sheetId="1" refreshError="1">
        <row r="2">
          <cell r="A2">
            <v>25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2">
          <cell r="A2">
            <v>25</v>
          </cell>
        </row>
      </sheetData>
      <sheetData sheetId="29">
        <row r="2">
          <cell r="A2">
            <v>25</v>
          </cell>
        </row>
      </sheetData>
      <sheetData sheetId="30">
        <row r="2">
          <cell r="A2">
            <v>25</v>
          </cell>
        </row>
      </sheetData>
      <sheetData sheetId="31">
        <row r="2">
          <cell r="A2">
            <v>25</v>
          </cell>
        </row>
      </sheetData>
      <sheetData sheetId="32">
        <row r="2">
          <cell r="A2">
            <v>25</v>
          </cell>
        </row>
      </sheetData>
      <sheetData sheetId="33">
        <row r="2">
          <cell r="A2">
            <v>25</v>
          </cell>
        </row>
      </sheetData>
      <sheetData sheetId="34">
        <row r="2">
          <cell r="A2">
            <v>25</v>
          </cell>
        </row>
      </sheetData>
      <sheetData sheetId="35">
        <row r="2">
          <cell r="A2">
            <v>25</v>
          </cell>
        </row>
      </sheetData>
      <sheetData sheetId="36">
        <row r="2">
          <cell r="A2">
            <v>25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>
        <row r="2">
          <cell r="A2">
            <v>25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метаСводная снег"/>
      <sheetName val="эл_химз_"/>
      <sheetName val="геология_"/>
      <sheetName val="Смета"/>
      <sheetName val="Табл38-7"/>
      <sheetName val="вариант"/>
      <sheetName val="Зап-3- СЦБ"/>
      <sheetName val="Лист1"/>
      <sheetName val="Обновление"/>
      <sheetName val="Цена"/>
      <sheetName val="Product"/>
      <sheetName val="топо"/>
      <sheetName val="Разработка проекта"/>
      <sheetName val="сводная"/>
      <sheetName val="См 1 наруж.водопровод"/>
      <sheetName val="График"/>
      <sheetName val="ПДР"/>
      <sheetName val="Смета 1"/>
      <sheetName val="Summary"/>
      <sheetName val="РП"/>
      <sheetName val="1"/>
      <sheetName val="сохранить"/>
      <sheetName val="Суточная"/>
      <sheetName val="5ОборРабМест(HP)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 2"/>
      <sheetName val="КП НовоКов"/>
      <sheetName val="sapactivexlhiddensheet"/>
      <sheetName val="Спецификация"/>
      <sheetName val="Шкаф"/>
      <sheetName val="Коэфф1."/>
      <sheetName val="Прайс лист"/>
      <sheetName val="Данные для расчёта сметы"/>
      <sheetName val="См_1_наруж_водопровод"/>
      <sheetName val="свод_2"/>
      <sheetName val="Разработка_проекта"/>
      <sheetName val="КП_НовоКов"/>
      <sheetName val="Счет-Фактура"/>
      <sheetName val="Переменные и константы"/>
      <sheetName val="СметаСводная 1 оч"/>
      <sheetName val="пятилетка"/>
      <sheetName val="мониторинг"/>
      <sheetName val="СМЕТА проект"/>
      <sheetName val="Данные_для_расчёта_сметы"/>
      <sheetName val="Коэфф1_"/>
      <sheetName val="Прайс_лист"/>
      <sheetName val="СметаСводная_1_оч"/>
      <sheetName val="Пример расчета"/>
      <sheetName val="свод (2)"/>
      <sheetName val="Калплан ОИ2 Макм крестики"/>
      <sheetName val="к.84-к.83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Прилож"/>
      <sheetName val="см8"/>
      <sheetName val="DATA"/>
      <sheetName val="Нормы"/>
      <sheetName val="Текущие цены"/>
      <sheetName val="рабочий"/>
      <sheetName val="окраска"/>
      <sheetName val="все"/>
      <sheetName val="Кредиты"/>
      <sheetName val="СметаСводная Рыб"/>
      <sheetName val="отчет эл_эн  2000"/>
      <sheetName val="информация"/>
      <sheetName val="ПОДПИСИ"/>
      <sheetName val="13.1"/>
      <sheetName val="РАСЧЕТ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Зап-3-_СЦБ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Лист2"/>
      <sheetName val="КП (2)"/>
      <sheetName val="Бюджет"/>
      <sheetName val="Norm"/>
      <sheetName val="свод 3"/>
      <sheetName val="ID"/>
      <sheetName val="СС"/>
      <sheetName val="ЭХЗ"/>
      <sheetName val="РасчетКомандир1"/>
      <sheetName val="РасчетКомандир2"/>
      <sheetName val="Коэфф"/>
      <sheetName val="Смета2 проект. раб."/>
      <sheetName val="данные"/>
      <sheetName val="Баланс"/>
      <sheetName val="Смета2_проект__раб_"/>
      <sheetName val="Смета_1"/>
      <sheetName val="Production and Spend"/>
      <sheetName val="OCK1"/>
      <sheetName val="1.3"/>
      <sheetName val="ИГ1"/>
      <sheetName val="К.рын"/>
      <sheetName val="Сводная смета"/>
      <sheetName val="Землеотвод"/>
      <sheetName val="шаблон"/>
      <sheetName val="СметаСводная павильон"/>
      <sheetName val="93-110"/>
      <sheetName val="Св. смета"/>
      <sheetName val="РБС ИЗМ1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свод1"/>
      <sheetName val="Таблица 4 АСУТП"/>
      <sheetName val="Input"/>
      <sheetName val="Calculation"/>
      <sheetName val="ст ГТМ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2002(v2)"/>
      <sheetName val="справ."/>
      <sheetName val="справ_"/>
      <sheetName val="2002_v2_"/>
      <sheetName val="СметаСводная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СметаСводная Колпино"/>
      <sheetName val="Подрядчики"/>
      <sheetName val="Январь"/>
      <sheetName val="Итог"/>
      <sheetName val="мсн"/>
      <sheetName val="мат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Смета терзем"/>
      <sheetName val="1155"/>
      <sheetName val="HP_и_оргтехника"/>
      <sheetName val="СМЕТА_проект"/>
      <sheetName val="Лист_опроса"/>
      <sheetName val="13_1"/>
      <sheetName val="выборка на22 июня"/>
      <sheetName val="свод_3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ЛЧ"/>
      <sheetName val="6.11 новый"/>
      <sheetName val="Opex personnel (Term facs)"/>
      <sheetName val="кп"/>
      <sheetName val="матер."/>
      <sheetName val="КП Прим (3)"/>
      <sheetName val="Lucent"/>
      <sheetName val="ИД СМР"/>
      <sheetName val="Пояснение "/>
      <sheetName val="3.1"/>
      <sheetName val="Коммерческие расходы"/>
      <sheetName val="смета 2 проект. работы"/>
      <sheetName val="Хар_"/>
      <sheetName val="С1_"/>
      <sheetName val="СтрЗапасов (2)"/>
      <sheetName val="НМ расчеты"/>
      <sheetName val="СС замеч с ответами"/>
      <sheetName val="начало"/>
      <sheetName val="Main"/>
      <sheetName val="УП _2004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Константы и результаты"/>
      <sheetName val="Лизинг"/>
      <sheetName val="расчет №3"/>
      <sheetName val="в работу"/>
      <sheetName val="1ПС"/>
      <sheetName val="20_Кредиты краткосрочные"/>
      <sheetName val="ц_199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Лист3"/>
      <sheetName val="АЧ"/>
      <sheetName val="Общая часть"/>
      <sheetName val="Табл.5"/>
      <sheetName val="Табл.2"/>
      <sheetName val="Исх.данные"/>
      <sheetName val="MAIN_PARAMETERS"/>
      <sheetName val="RSOILBAL"/>
      <sheetName val="ВКЕ"/>
      <sheetName val="rvldmrv"/>
      <sheetName val="Additives"/>
      <sheetName val="Ryazan"/>
      <sheetName val="Assumpt"/>
      <sheetName val="Control"/>
      <sheetName val="Параметры"/>
      <sheetName val="См №3 ОПР"/>
      <sheetName val="см.№6 АВЗУ и ГПЗУ"/>
      <sheetName val="Геофизика"/>
      <sheetName val="Геодезия"/>
      <sheetName val="Экология1"/>
      <sheetName val="НГХК"/>
      <sheetName val="КП к снег Рыбинская"/>
      <sheetName val="АУП"/>
      <sheetName val="CENTR"/>
      <sheetName val="4сд"/>
      <sheetName val="2сд"/>
      <sheetName val="7сд"/>
      <sheetName val="Lim"/>
      <sheetName val="Справочник"/>
      <sheetName val="PwC Copies from old models --&gt;&gt;"/>
      <sheetName val="Справочники"/>
      <sheetName val="Сравнение ДПН факт 06-07"/>
      <sheetName val="Journals"/>
      <sheetName val="Names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2.2 "/>
      <sheetName val="Расчет курса"/>
      <sheetName val="XLR_NoRangeSheet"/>
      <sheetName val="НЕДЕЛИ"/>
      <sheetName val="GD"/>
      <sheetName val="Баланс (Ф1)"/>
      <sheetName val="Перечень Заказчиков"/>
      <sheetName val="СП"/>
      <sheetName val="Капитальные затраты"/>
      <sheetName val="трансформация1"/>
      <sheetName val="Destination"/>
      <sheetName val="breakdown"/>
      <sheetName val="EKDEB90"/>
      <sheetName val="Коэф КВ"/>
      <sheetName val="кп (3)"/>
      <sheetName val=""/>
      <sheetName val="К"/>
      <sheetName val="Кал.план Жукова даты - не надо"/>
      <sheetName val="фонтан разбитый2"/>
      <sheetName val="накладная"/>
      <sheetName val="Акт"/>
      <sheetName val="Смета-Т"/>
      <sheetName val="Смета 3 Гидролог"/>
      <sheetName val="Записка СЦБ"/>
      <sheetName val="РС "/>
      <sheetName val="геолог"/>
      <sheetName val="Курс доллара"/>
      <sheetName val="Календарь новый"/>
      <sheetName val="15"/>
      <sheetName val="Смета № 1 ИИ линия"/>
      <sheetName val="Дополнительные параметры"/>
      <sheetName val="Leistungsakt"/>
      <sheetName val="Свод объем"/>
      <sheetName val="Дог цена"/>
      <sheetName val="SakhNIPI5"/>
      <sheetName val="ПИР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3труба (П)"/>
      <sheetName val="Восстановл_Лист37"/>
      <sheetName val="Объемы работ по ПВ"/>
      <sheetName val="16"/>
      <sheetName val="Таблица 5"/>
      <sheetName val="Таблица 3"/>
      <sheetName val="Коэф"/>
      <sheetName val="1.401.2"/>
      <sheetName val="Source lists"/>
      <sheetName val="PO Data"/>
      <sheetName val="Rub"/>
      <sheetName val="ПД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_ИИР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М_1"/>
      <sheetName val="Сводная "/>
      <sheetName val="7.ТХ Сети (кор)"/>
      <sheetName val="Tier 311208"/>
      <sheetName val="Акт выбора"/>
      <sheetName val="См.№7 Эл."/>
      <sheetName val="См.№8 Пож."/>
      <sheetName val="См.№3 ВиК"/>
      <sheetName val="Полигон - ИЭИ "/>
      <sheetName val="Ком"/>
      <sheetName val="№1"/>
      <sheetName val="лч и кам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РСС_АУ"/>
      <sheetName val="Раб.АУ"/>
      <sheetName val="Сметы за сопровождение"/>
      <sheetName val="2-stage"/>
      <sheetName val="База Геодезия"/>
      <sheetName val="База Геология"/>
      <sheetName val="СМ_x000b__x0011__x0012__x000c__x0011__x0011__x0011__x0011__x0011__x0011_"/>
      <sheetName val="ᄀᄀᄀᄀᄀᄀᄀᄀᄀᄀᄀᄀᄀᄀᄀᄀᄀ"/>
      <sheetName val="См.3_АСУ"/>
      <sheetName val="Смета ТЗ АСУ-16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АСУ-линия-1"/>
      <sheetName val="ТЗ АСУ-1"/>
      <sheetName val="Виды работ АСО"/>
      <sheetName val="Объем работ"/>
      <sheetName val="таблица_руко_x0019__x0015_ _x0003__x000c__x0011__x0011_"/>
      <sheetName val="ФОТ для смет"/>
      <sheetName val="ЛС_РЕС"/>
      <sheetName val="BACT"/>
      <sheetName val="таблица_руко_x0019__x0015__x0009__x0003__x000c__x0011__x0011_"/>
      <sheetName val="СВ 2"/>
      <sheetName val="СМ"/>
      <sheetName val="6"/>
      <sheetName val="1.14"/>
      <sheetName val="1.7"/>
      <sheetName val="_x0000__x0000_"/>
      <sheetName val="MararashAA"/>
      <sheetName val="ПРОЦЕНТЫ"/>
      <sheetName val="Бл.электр."/>
      <sheetName val="8"/>
      <sheetName val="ПД-2.2"/>
      <sheetName val="2 Геология"/>
      <sheetName val="Общ"/>
      <sheetName val="Норм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Исх."/>
      <sheetName val="исх-данные"/>
      <sheetName val="СМИС"/>
      <sheetName val="Вспом."/>
      <sheetName val="УКП"/>
      <sheetName val="БД"/>
      <sheetName val="Лист4"/>
      <sheetName val="Общий"/>
      <sheetName val="ТабР"/>
      <sheetName val="База"/>
      <sheetName val="ИД ПНР"/>
      <sheetName val="#ССЫЛКА"/>
      <sheetName val="basa"/>
      <sheetName val="пофакторный"/>
      <sheetName val="РАСШИФ_ЦЕХ_РАСХ"/>
      <sheetName val="топ"/>
      <sheetName val="кап.ремонт"/>
      <sheetName val="Дог_рас"/>
      <sheetName val="Ограничения шаблон"/>
      <sheetName val="Обор"/>
      <sheetName val="1.2_"/>
      <sheetName val="Лист"/>
      <sheetName val="Исх"/>
      <sheetName val="Base"/>
      <sheetName val="ПС_x0000__x0000__x0000__x0000__x0000__x0000_"/>
      <sheetName val="эл_химз_2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КБК ДПК"/>
      <sheetName val="Main list"/>
      <sheetName val="ЕТС (ф)"/>
      <sheetName val="3_гидромет"/>
      <sheetName val="эл_химз_3"/>
      <sheetName val="13_11"/>
      <sheetName val="КП_(2)1"/>
      <sheetName val="свод_31"/>
      <sheetName val="СМЕТА_проект1"/>
      <sheetName val="1_31"/>
      <sheetName val="К_рын1"/>
      <sheetName val="Сводная_смета1"/>
      <sheetName val="Переменные_и_константы1"/>
      <sheetName val="СметаСводная_павильон1"/>
      <sheetName val="СметаСводная_снег1"/>
      <sheetName val="Лист_опроса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Смета_1свод1"/>
      <sheetName val="таблица_руководству1"/>
      <sheetName val="Суточная_добыча_за_неделю1"/>
      <sheetName val="Прибыль_опл1"/>
      <sheetName val="№5_СУБ_Инж_защ1"/>
      <sheetName val="HP_и_оргтехника1"/>
      <sheetName val="Таблица_4_АСУТП1"/>
      <sheetName val="ПДР_ООО_&quot;Юкос_ФБЦ&quot;1"/>
      <sheetName val="исходные_данные1"/>
      <sheetName val="расчетные_таблицы1"/>
      <sheetName val="Амур_ДОН1"/>
      <sheetName val="Б_Сатка1"/>
      <sheetName val="справ_2"/>
      <sheetName val="Перечень_ИУ1"/>
      <sheetName val="3_1_ТХ1"/>
      <sheetName val="СметаСводная_Колпино1"/>
      <sheetName val="3_51"/>
      <sheetName val="Смета_21"/>
      <sheetName val="Ачинский_НПЗ1"/>
      <sheetName val="См3_СЦБ-зап1"/>
      <sheetName val="Хаттон_90_90_Femco1"/>
      <sheetName val="свод_общ1"/>
      <sheetName val="Смета_5_2__Кусты25,29,31,651"/>
      <sheetName val="р_Волхов1"/>
      <sheetName val="Opex_personnel_(Term_facs)1"/>
      <sheetName val="Капитальные_затраты1"/>
      <sheetName val="Пояснение_"/>
      <sheetName val="3_11"/>
      <sheetName val="Коммерческие_расходы1"/>
      <sheetName val="смета_2_проект__работы"/>
      <sheetName val="СС_замеч_с_ответами1"/>
      <sheetName val="УП__20041"/>
      <sheetName val="в_работу1"/>
      <sheetName val="3_21"/>
      <sheetName val="3_31"/>
      <sheetName val="Р2_11"/>
      <sheetName val="Р2_21"/>
      <sheetName val="Удельные(проф_)1"/>
      <sheetName val="Константы_и_результаты1"/>
      <sheetName val="расчет_№31"/>
      <sheetName val="20_Кредиты_краткосрочные1"/>
      <sheetName val="Перечень_Заказчиков1"/>
      <sheetName val="2_2_1"/>
      <sheetName val="СтрЗапасов_(2)"/>
      <sheetName val="PwC_Copies_from_old_models_--&gt;&gt;"/>
      <sheetName val="Сравнение_ДПН_факт_06-07"/>
      <sheetName val="НМ_расчеты"/>
      <sheetName val="КП_к_снег_Рыбинская1"/>
      <sheetName val="Коэф_КВ"/>
      <sheetName val="Смета_терзем"/>
      <sheetName val="Кал_план_Жукова_даты_-_не_надо"/>
      <sheetName val="матер_"/>
      <sheetName val="КП_Прим_(3)"/>
      <sheetName val="кп_(3)"/>
      <sheetName val="фонтан_разбитый2"/>
      <sheetName val="РС_"/>
      <sheetName val="Баланс_(Ф1)"/>
      <sheetName val="Смета_3_Гидролог"/>
      <sheetName val="Записка_СЦБ"/>
      <sheetName val="Раб_АУ"/>
      <sheetName val="Source_lists"/>
      <sheetName val="Общая_часть"/>
      <sheetName val="Табл_51"/>
      <sheetName val="Табл_21"/>
      <sheetName val="См_№3_ОПР"/>
      <sheetName val="см_№6_АВЗУ_и_ГПЗУ"/>
      <sheetName val="Input_Assumptions"/>
      <sheetName val="см_№1_1_Геодезические_работы_"/>
      <sheetName val="см_№1_4_Экология_"/>
      <sheetName val="АСУ_ТП_1_этап_ПД"/>
      <sheetName val="Расчет_курса"/>
      <sheetName val="ПС"/>
      <sheetName val="ДДС_(Форма_№3)"/>
      <sheetName val="Курс_доллара"/>
      <sheetName val="Календарь_новый"/>
      <sheetName val="Смета_№_1_ИИ_линия"/>
      <sheetName val="Дополнительные_параметры"/>
      <sheetName val="Свод_объем"/>
      <sheetName val="Дог_цена"/>
      <sheetName val="выборка_на22_июня"/>
      <sheetName val="3труба_(П)"/>
      <sheetName val="Объемы_работ_по_ПВ"/>
      <sheetName val="Таблица_5"/>
      <sheetName val="Таблица_3"/>
      <sheetName val="1_401_2"/>
      <sheetName val="PO_Data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Сводная_"/>
      <sheetName val="7_ТХ_Сети_(кор)"/>
      <sheetName val="Tier_311208"/>
      <sheetName val="Акт_выбора"/>
      <sheetName val="См_№7_Эл_"/>
      <sheetName val="См_№8_Пож_"/>
      <sheetName val="См_№3_ВиК"/>
      <sheetName val="Сметы_за_сопровождение"/>
      <sheetName val="геология_3"/>
      <sheetName val="6_143"/>
      <sheetName val="6_3_13"/>
      <sheetName val="6_203"/>
      <sheetName val="6_4_13"/>
      <sheetName val="6_11_1__сторонние3"/>
      <sheetName val="8_14_КР_(списание)ОПСТИКР3"/>
      <sheetName val="Данные_для_расчёта_сметы2"/>
      <sheetName val="6_14_КР2"/>
      <sheetName val="Пример_расчета2"/>
      <sheetName val="свод_22"/>
      <sheetName val="Зап-3-_СЦБ2"/>
      <sheetName val="СметаСводная_Рыб2"/>
      <sheetName val="Текущие_цены2"/>
      <sheetName val="отчет_эл_эн__20002"/>
      <sheetName val="к_84-к_832"/>
      <sheetName val="Коэфф1_2"/>
      <sheetName val="6_31"/>
      <sheetName val="6_71"/>
      <sheetName val="6_3_1_31"/>
      <sheetName val="Смета2_проект__раб_2"/>
      <sheetName val="Смета_12"/>
      <sheetName val="Production_and_Spend1"/>
      <sheetName val="Прайс_лист2"/>
      <sheetName val="См_1_наруж_водопровод2"/>
      <sheetName val="Разработка_проекта2"/>
      <sheetName val="КП_НовоКов2"/>
      <sheetName val="СметаСводная_1_оч2"/>
      <sheetName val="свод_(2)1"/>
      <sheetName val="Калплан_ОИ2_Макм_крестики1"/>
      <sheetName val="Св__смета1"/>
      <sheetName val="РБС_ИЗМ11"/>
      <sheetName val="Таблица_21"/>
      <sheetName val="ст_ГТМ1"/>
      <sheetName val="кп_ГК1"/>
      <sheetName val="Справочные_данные1"/>
      <sheetName val="суб_подряд2"/>
      <sheetName val="ПСБ_-_ОЭ2"/>
      <sheetName val="смета_СИД1"/>
      <sheetName val="ресурсная_вед_1"/>
      <sheetName val="КП_к_ГК1"/>
      <sheetName val="изыскания_21"/>
      <sheetName val="Калплан_Кра1"/>
      <sheetName val="6_11_новый1"/>
      <sheetName val="См_3_АСУ"/>
      <sheetName val="Полигон_-_ИЭИ_"/>
      <sheetName val="Смета_ТЗ_АСУ-16"/>
      <sheetName val="База_Геодезия"/>
      <sheetName val="База_Геология"/>
      <sheetName val="База_Геофизика"/>
      <sheetName val="4_1_1"/>
      <sheetName val="исп_1_1_1"/>
      <sheetName val="База_Гидро"/>
      <sheetName val="4_2_1"/>
      <sheetName val="исп_1_1_2"/>
      <sheetName val="Исп__смета_этап_1_1,_1_2"/>
      <sheetName val="Исх1"/>
      <sheetName val="анализ 2003_2004исполнение МТО"/>
      <sheetName val="Технический лист"/>
      <sheetName val="Причины отклонений"/>
      <sheetName val="Статус работы"/>
      <sheetName val="Уровень графика"/>
      <sheetName val="Тестовый"/>
      <sheetName val="Panduit"/>
      <sheetName val="Приложение 2"/>
      <sheetName val=" Свод"/>
      <sheetName val="Пра"/>
      <sheetName val="исключ ЭХЗ"/>
      <sheetName val="БДР"/>
      <sheetName val="геол"/>
      <sheetName val="аванс по ОС"/>
      <sheetName val="Авансы выданные"/>
      <sheetName val="Кред"/>
      <sheetName val="ДЗ"/>
      <sheetName val="Кред. задолж."/>
      <sheetName val="Прочие"/>
      <sheetName val="Сводный"/>
      <sheetName val="ГАЗ_камаз"/>
      <sheetName val="41"/>
      <sheetName val="Договорная цена"/>
      <sheetName val="Имя"/>
      <sheetName val="№2Гидромет."/>
      <sheetName val="№2Геолог"/>
      <sheetName val="№2Геолог с.п."/>
      <sheetName val="№3Экологи (2этап)"/>
      <sheetName val="Исходная"/>
      <sheetName val="Должности"/>
      <sheetName val="3 Сл.-структура затрат"/>
      <sheetName val="const"/>
      <sheetName val="расчеты"/>
      <sheetName val="ПС 110 кВ (доп)"/>
      <sheetName val="ПД-2.1"/>
      <sheetName val="Пра_x0000_с_лист"/>
      <sheetName val="Смета 7"/>
      <sheetName val="Бл_электр_"/>
      <sheetName val="Прил.5 СС"/>
      <sheetName val="расчет вязкости"/>
      <sheetName val="Сравнение с Finder - ДНС-5"/>
      <sheetName val="Исх. данные"/>
      <sheetName val="эл_химз_4"/>
      <sheetName val="13_12"/>
      <sheetName val="КП_(2)2"/>
      <sheetName val="свод_32"/>
      <sheetName val="СМЕТА_проект2"/>
      <sheetName val="1_32"/>
      <sheetName val="К_рын2"/>
      <sheetName val="Сводная_смета2"/>
      <sheetName val="Переменные_и_константы2"/>
      <sheetName val="СметаСводная_павильон2"/>
      <sheetName val="СметаСводная_снег2"/>
      <sheetName val="Лист_опроса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Смета_1свод2"/>
      <sheetName val="таблица_руководству2"/>
      <sheetName val="Суточная_добыча_за_неделю2"/>
      <sheetName val="Прибыль_опл2"/>
      <sheetName val="№5_СУБ_Инж_защ2"/>
      <sheetName val="HP_и_оргтехника2"/>
      <sheetName val="Таблица_4_АСУТП2"/>
      <sheetName val="ПДР_ООО_&quot;Юкос_ФБЦ&quot;2"/>
      <sheetName val="исходные_данные2"/>
      <sheetName val="расчетные_таблицы2"/>
      <sheetName val="Амур_ДОН2"/>
      <sheetName val="Б_Сатка2"/>
      <sheetName val="справ_3"/>
      <sheetName val="Перечень_ИУ2"/>
      <sheetName val="3_1_ТХ2"/>
      <sheetName val="СметаСводная_Колпино2"/>
      <sheetName val="3_52"/>
      <sheetName val="Смета_22"/>
      <sheetName val="Ачинский_НПЗ2"/>
      <sheetName val="См3_СЦБ-зап2"/>
      <sheetName val="Хаттон_90_90_Femco2"/>
      <sheetName val="свод_общ2"/>
      <sheetName val="Смета_5_2__Кусты25,29,31,652"/>
      <sheetName val="р_Волхов2"/>
      <sheetName val="Opex_personnel_(Term_facs)2"/>
      <sheetName val="Капитальные_затраты2"/>
      <sheetName val="Пояснение_1"/>
      <sheetName val="3_12"/>
      <sheetName val="Коммерческие_расходы2"/>
      <sheetName val="смета_2_проект__работы1"/>
      <sheetName val="СС_замеч_с_ответами2"/>
      <sheetName val="УП__20042"/>
      <sheetName val="в_работу2"/>
      <sheetName val="3_22"/>
      <sheetName val="3_32"/>
      <sheetName val="Р2_12"/>
      <sheetName val="Р2_22"/>
      <sheetName val="Удельные(проф_)2"/>
      <sheetName val="Константы_и_результаты2"/>
      <sheetName val="расчет_№32"/>
      <sheetName val="20_Кредиты_краткосрочные2"/>
      <sheetName val="Перечень_Заказчиков2"/>
      <sheetName val="2_2_2"/>
      <sheetName val="СтрЗапасов_(2)1"/>
      <sheetName val="PwC_Copies_from_old_models_--&gt;1"/>
      <sheetName val="Сравнение_ДПН_факт_06-071"/>
      <sheetName val="НМ_расчеты1"/>
      <sheetName val="КП_к_снег_Рыбинская2"/>
      <sheetName val="Коэф_КВ1"/>
      <sheetName val="Смета_терзем1"/>
      <sheetName val="Кал_план_Жукова_даты_-_не_надо1"/>
      <sheetName val="матер_1"/>
      <sheetName val="КП_Прим_(3)1"/>
      <sheetName val="кп_(3)1"/>
      <sheetName val="фонтан_разбитый21"/>
      <sheetName val="Баланс_(Ф1)1"/>
      <sheetName val="Смета_3_Гидролог1"/>
      <sheetName val="Записка_СЦБ1"/>
      <sheetName val="РС_1"/>
      <sheetName val="Раб_АУ1"/>
      <sheetName val="Source_lists1"/>
      <sheetName val="Общая_часть1"/>
      <sheetName val="Табл_52"/>
      <sheetName val="Табл_22"/>
      <sheetName val="См_№3_ОПР1"/>
      <sheetName val="см_№6_АВЗУ_и_ГПЗУ1"/>
      <sheetName val="Input_Assumptions1"/>
      <sheetName val="см_№1_1_Геодезические_работы_1"/>
      <sheetName val="см_№1_4_Экология_1"/>
      <sheetName val="АСУ_ТП_1_этап_ПД1"/>
      <sheetName val="Расчет_курса1"/>
      <sheetName val="ДДС_(Форма_№3)1"/>
      <sheetName val="Курс_доллара1"/>
      <sheetName val="Календарь_новый1"/>
      <sheetName val="Смета_№_1_ИИ_линия1"/>
      <sheetName val="Дополнительные_параметры1"/>
      <sheetName val="Свод_объем1"/>
      <sheetName val="Дог_цена1"/>
      <sheetName val="выборка_на22_июня1"/>
      <sheetName val="3труба_(П)1"/>
      <sheetName val="Объемы_работ_по_ПВ1"/>
      <sheetName val="Таблица_51"/>
      <sheetName val="Таблица_31"/>
      <sheetName val="1_401_21"/>
      <sheetName val="PO_Data1"/>
      <sheetName val="р_Нева2"/>
      <sheetName val="р_Молога2"/>
      <sheetName val="18_рек_Ю-Х2"/>
      <sheetName val="нпс_Палкино2"/>
      <sheetName val="Россия_-_Китай2"/>
      <sheetName val="КМ_210-2382"/>
      <sheetName val="БТС-2_км_405-4592"/>
      <sheetName val="БТС-2_км_405-4532"/>
      <sheetName val="БТС-2_км_313-3522"/>
      <sheetName val="БТС-2_км326-3522"/>
      <sheetName val="Улейма_И2"/>
      <sheetName val="Белая_УБКА2"/>
      <sheetName val="км_72-75р_Левоннька2"/>
      <sheetName val="киенгоп-н_Челны_км_104-2062"/>
      <sheetName val="ВЛ_Урдома2"/>
      <sheetName val="Вл_Микунь_Урдома2"/>
      <sheetName val="ВЛ_Синдор-Микунь2"/>
      <sheetName val="Тон_Чермасан2"/>
      <sheetName val="Трасса_км_16-1472"/>
      <sheetName val="трасса_0-762"/>
      <sheetName val="Колва_782"/>
      <sheetName val="Гидрология__р_Колва_км_382"/>
      <sheetName val="ПСП_2"/>
      <sheetName val="Новая_сводка_(до_бюджета)_(2)3"/>
      <sheetName val="Что_пришло3"/>
      <sheetName val="влад-таблица_(2)3"/>
      <sheetName val="Новая_сводка_(до_бюджета)3"/>
      <sheetName val="Новая_сводка3"/>
      <sheetName val="Общие_расходы3"/>
      <sheetName val="Новая_сводка_(по_бюджету)3"/>
      <sheetName val="Íîâàÿ_ñâîäêà_(äî_áþäæåòà)_(2)3"/>
      <sheetName val="×òî_ïðèøëî3"/>
      <sheetName val="âëàä-òàáëèöà_(2)3"/>
      <sheetName val="Íîâàÿ_ñâîäêà_(äî_áþäæåòà)3"/>
      <sheetName val="Íîâàÿ_ñâîäêà3"/>
      <sheetName val="Îáùèå_ðàñõîäû3"/>
      <sheetName val="Íîâàÿ_ñâîäêà_(ïî_áþäæåòó)3"/>
      <sheetName val="6_10_13"/>
      <sheetName val="6_7_3_ТН3"/>
      <sheetName val="6_13"/>
      <sheetName val="6_52-свод2"/>
      <sheetName val="Сводная_1"/>
      <sheetName val="7_ТХ_Сети_(кор)1"/>
      <sheetName val="Tier_3112081"/>
      <sheetName val="Акт_выбора1"/>
      <sheetName val="См_№7_Эл_1"/>
      <sheetName val="См_№8_Пож_1"/>
      <sheetName val="См_№3_ВиК1"/>
      <sheetName val="Сметы_за_сопровождение1"/>
      <sheetName val="ЕТС_(ф)"/>
      <sheetName val="Форма 2.1"/>
      <sheetName val="W28"/>
      <sheetName val="См_2 Шатурс сети  проект работы"/>
      <sheetName val="автоматизация РД"/>
      <sheetName val="РабПр"/>
      <sheetName val="Акт-Смета_30"/>
      <sheetName val="Смета 2 эл.монтаж"/>
      <sheetName val="Смета 1 общестроит"/>
      <sheetName val="ДЦ"/>
      <sheetName val=" Оборудование  end"/>
      <sheetName val="сводная (2)"/>
      <sheetName val="Акт выполненных работ 46"/>
      <sheetName val="SMW_Служебная"/>
      <sheetName val="Промер глуб"/>
      <sheetName val="SENSITIVITY"/>
      <sheetName val="Расчет №1.1"/>
      <sheetName val="Расчет №2.1"/>
      <sheetName val="выборка "/>
      <sheetName val="выборка раб"/>
      <sheetName val="Свод2006"/>
      <sheetName val="1 кв"/>
      <sheetName val="РС"/>
      <sheetName val="см 5 ОДД "/>
      <sheetName val="Смета _4ПР ЭХЗ"/>
      <sheetName val="GLOBAL"/>
      <sheetName val="Прочее"/>
      <sheetName val="ИНСТРУКЦИЯ"/>
      <sheetName val="темп"/>
      <sheetName val="ЛЧ Р"/>
      <sheetName val="2.1"/>
      <sheetName val="СВ"/>
      <sheetName val="Настройки"/>
      <sheetName val="Производство электроэнергии"/>
      <sheetName val="Т11"/>
      <sheetName val="Т12"/>
      <sheetName val="Т7"/>
      <sheetName val="PLиюль04"/>
      <sheetName val="PL СКР"/>
      <sheetName val="1.1"/>
      <sheetName val="1.2-1"/>
      <sheetName val="1.2-2"/>
      <sheetName val="1.2-3"/>
      <sheetName val="1.2-4"/>
      <sheetName val="1.2-5"/>
      <sheetName val="1.3.1"/>
      <sheetName val="1.3.2"/>
      <sheetName val="1.3.3"/>
      <sheetName val="1.4.1.1"/>
      <sheetName val="1.4.1.2"/>
      <sheetName val="1.4.1.3"/>
      <sheetName val="1.4.1.5"/>
      <sheetName val="1.5"/>
      <sheetName val="№2.1"/>
      <sheetName val="№2.2-1"/>
      <sheetName val="№2.2-2"/>
      <sheetName val="№2.2-3 "/>
      <sheetName val="2.2-5 "/>
      <sheetName val="№2.3.1"/>
      <sheetName val="№2.3.2"/>
      <sheetName val="2.3.3"/>
      <sheetName val="2.4.1.1"/>
      <sheetName val="2.4.1.3"/>
      <sheetName val="№3.1"/>
      <sheetName val="№3.2-1"/>
      <sheetName val="№3.2-2"/>
      <sheetName val="№3.2-3"/>
      <sheetName val="3.2-5 "/>
      <sheetName val="3.3.1"/>
      <sheetName val="3.3.2"/>
      <sheetName val="3.3.3"/>
      <sheetName val="3.4.1.3"/>
      <sheetName val="2.6"/>
      <sheetName val="2.7"/>
      <sheetName val="4.1"/>
      <sheetName val="4.2"/>
      <sheetName val="4.3"/>
      <sheetName val="4.4"/>
      <sheetName val="4.5"/>
      <sheetName val="4.6"/>
      <sheetName val="4.7"/>
      <sheetName val="4.9"/>
      <sheetName val="4.10"/>
      <sheetName val="4.10 (3)"/>
      <sheetName val="4.10 (2)"/>
      <sheetName val="4.11"/>
      <sheetName val="4.12"/>
      <sheetName val="4.13"/>
      <sheetName val="4.14"/>
      <sheetName val="4.15"/>
      <sheetName val="4.16"/>
      <sheetName val="4.17"/>
      <sheetName val="4.18"/>
      <sheetName val="4.19"/>
      <sheetName val="5.1"/>
      <sheetName val="5.2"/>
      <sheetName val="5.3"/>
      <sheetName val="5.4"/>
      <sheetName val="5.5"/>
      <sheetName val="5.6"/>
      <sheetName val="5.7"/>
      <sheetName val="5.8"/>
      <sheetName val="Настройка"/>
      <sheetName val="База ВОП"/>
      <sheetName val="База ПИР"/>
      <sheetName val="2.2"/>
      <sheetName val="2.3"/>
      <sheetName val="2.3.2"/>
      <sheetName val="2.4"/>
      <sheetName val="2.5"/>
      <sheetName val=" Ком"/>
      <sheetName val="2.3.лаб"/>
      <sheetName val="3.1земля"/>
      <sheetName val="6.1-7.1"/>
      <sheetName val="рекульт"/>
      <sheetName val="ГО и ЧС"/>
      <sheetName val="ДПБ"/>
      <sheetName val="№3"/>
      <sheetName val="№1 СИД"/>
      <sheetName val="№2 Ком дьяк"/>
      <sheetName val="№3.2"/>
      <sheetName val="№3.3"/>
      <sheetName val="СВ смета"/>
      <sheetName val="№3.4"/>
      <sheetName val="№4 ПДЛУ и ЗУ"/>
      <sheetName val="№5 ППиМТ"/>
      <sheetName val="№6.1 ТГВ"/>
      <sheetName val="№6.2 ЭХЗ"/>
      <sheetName val="№6.3 ЭС (согл )"/>
      <sheetName val="№6.4 КИП"/>
      <sheetName val="№6.5 Согл (КИП) "/>
      <sheetName val="№6.6 МЕО "/>
      <sheetName val="№6.7 ПожБ (ПД)"/>
      <sheetName val="№6.8 Пром без (ПД)"/>
      <sheetName val="№6.9 эк аспект"/>
      <sheetName val="№6.10 ОВОС"/>
      <sheetName val="№6.11 отвод"/>
      <sheetName val="№6.12 рекул"/>
      <sheetName val="№6.13 отход"/>
      <sheetName val="№6.14 выброс"/>
      <sheetName val="№6.15 ИБ (ПД)"/>
      <sheetName val="№6.16 ИБ (РД)"/>
      <sheetName val="Таблица"/>
      <sheetName val="rankout"/>
      <sheetName val="Акты"/>
      <sheetName val="ЛС_БИ"/>
      <sheetName val="1-1"/>
      <sheetName val="1-2"/>
      <sheetName val="1-4"/>
      <sheetName val="изм2-1"/>
      <sheetName val="2-2"/>
      <sheetName val="2-3"/>
      <sheetName val="изм7-1"/>
      <sheetName val="изм9-1"/>
      <sheetName val="Список_объектов"/>
      <sheetName val="Коэффициенты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 refreshError="1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 refreshError="1"/>
      <sheetData sheetId="1021" refreshError="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 refreshError="1"/>
      <sheetData sheetId="1044" refreshError="1"/>
      <sheetData sheetId="1045" refreshError="1"/>
      <sheetData sheetId="1046"/>
      <sheetData sheetId="1047"/>
      <sheetData sheetId="1048"/>
      <sheetData sheetId="1049"/>
      <sheetData sheetId="1050"/>
      <sheetData sheetId="1051"/>
      <sheetData sheetId="1052" refreshError="1"/>
      <sheetData sheetId="1053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/>
      <sheetData sheetId="1066" refreshError="1"/>
      <sheetData sheetId="1067"/>
      <sheetData sheetId="1068" refreshError="1"/>
      <sheetData sheetId="1069" refreshError="1"/>
      <sheetData sheetId="1070" refreshError="1"/>
      <sheetData sheetId="1071">
        <row r="1">
          <cell r="B1">
            <v>0</v>
          </cell>
        </row>
      </sheetData>
      <sheetData sheetId="1072" refreshError="1"/>
      <sheetData sheetId="1073" refreshError="1"/>
      <sheetData sheetId="1074" refreshError="1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1">
          <cell r="B1">
            <v>0</v>
          </cell>
        </row>
      </sheetData>
      <sheetData sheetId="1088"/>
      <sheetData sheetId="1089">
        <row r="1">
          <cell r="B1">
            <v>0</v>
          </cell>
        </row>
      </sheetData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/>
      <sheetData sheetId="1319"/>
      <sheetData sheetId="1320" refreshError="1"/>
      <sheetData sheetId="1321"/>
      <sheetData sheetId="1322"/>
      <sheetData sheetId="1323"/>
      <sheetData sheetId="1324"/>
      <sheetData sheetId="1325"/>
      <sheetData sheetId="1326"/>
      <sheetData sheetId="1327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</sheetNames>
    <sheetDataSet>
      <sheetData sheetId="0"/>
      <sheetData sheetId="1">
        <row r="1">
          <cell r="B1" t="str">
            <v>Сейсморазведка МОВ-ОГТ на одном типе волн</v>
          </cell>
        </row>
        <row r="2">
          <cell r="B2" t="str">
            <v>Сейсморазведка МОВ-ОГТ на двух типах волн</v>
          </cell>
        </row>
        <row r="3">
          <cell r="B3" t="str">
            <v>Сейсморазведка МПВ на одном типе волн</v>
          </cell>
        </row>
        <row r="4">
          <cell r="B4" t="str">
            <v>Сейсморазведка МПВ на двух типах волн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abSelected="1" view="pageBreakPreview" topLeftCell="A19" zoomScale="130" zoomScaleNormal="100" zoomScaleSheetLayoutView="130" workbookViewId="0">
      <selection activeCell="E38" sqref="E38"/>
    </sheetView>
  </sheetViews>
  <sheetFormatPr defaultColWidth="8.5703125" defaultRowHeight="18.5" x14ac:dyDescent="0.45"/>
  <cols>
    <col min="1" max="1" width="3" style="5" customWidth="1"/>
    <col min="2" max="2" width="27" style="5" customWidth="1"/>
    <col min="3" max="3" width="5.5703125" style="5" customWidth="1"/>
    <col min="4" max="4" width="5.92578125" style="5" customWidth="1"/>
    <col min="5" max="5" width="8" style="5" customWidth="1"/>
    <col min="6" max="6" width="10.0703125" style="5" customWidth="1"/>
    <col min="7" max="7" width="6.5703125" style="5" customWidth="1"/>
    <col min="8" max="8" width="5.42578125" style="5" customWidth="1"/>
    <col min="9" max="9" width="6" style="5" customWidth="1"/>
    <col min="10" max="10" width="3.42578125" style="5" customWidth="1"/>
    <col min="11" max="11" width="11.5703125" style="5" customWidth="1"/>
    <col min="12" max="16384" width="8.5703125" style="5"/>
  </cols>
  <sheetData>
    <row r="1" spans="1:11" x14ac:dyDescent="0.45">
      <c r="A1" s="1"/>
      <c r="B1" s="2"/>
      <c r="C1" s="2"/>
      <c r="D1" s="3"/>
      <c r="E1" s="3"/>
      <c r="F1" s="4"/>
      <c r="G1" s="3"/>
      <c r="H1" s="3"/>
      <c r="I1" s="3"/>
      <c r="J1" s="3"/>
      <c r="K1" s="4"/>
    </row>
    <row r="2" spans="1:11" x14ac:dyDescent="0.45">
      <c r="A2" s="82" t="s">
        <v>24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11" x14ac:dyDescent="0.45">
      <c r="A3" s="82" t="s">
        <v>0</v>
      </c>
      <c r="B3" s="82"/>
      <c r="C3" s="82"/>
      <c r="D3" s="82"/>
      <c r="E3" s="82"/>
      <c r="F3" s="82"/>
      <c r="G3" s="82"/>
      <c r="H3" s="82"/>
      <c r="I3" s="82"/>
      <c r="J3" s="82"/>
      <c r="K3" s="82"/>
    </row>
    <row r="4" spans="1:11" ht="19" thickBot="1" x14ac:dyDescent="0.5">
      <c r="A4" s="6"/>
      <c r="B4" s="6"/>
      <c r="C4" s="15"/>
      <c r="D4" s="15" t="s">
        <v>20</v>
      </c>
      <c r="E4" s="15"/>
      <c r="F4" s="15"/>
      <c r="G4" s="15"/>
      <c r="H4" s="7"/>
      <c r="I4" s="7"/>
      <c r="J4" s="7"/>
      <c r="K4" s="6"/>
    </row>
    <row r="5" spans="1:11" x14ac:dyDescent="0.45">
      <c r="A5" s="8"/>
      <c r="B5" s="9"/>
      <c r="C5" s="9"/>
      <c r="D5" s="83" t="s">
        <v>1</v>
      </c>
      <c r="E5" s="83"/>
      <c r="F5" s="83"/>
      <c r="G5" s="83"/>
      <c r="H5" s="84"/>
      <c r="I5" s="10"/>
      <c r="J5" s="10"/>
      <c r="K5" s="11"/>
    </row>
    <row r="6" spans="1:11" x14ac:dyDescent="0.45">
      <c r="A6" s="3"/>
      <c r="B6" s="3"/>
      <c r="C6" s="3"/>
      <c r="D6" s="3"/>
      <c r="E6" s="3"/>
      <c r="F6" s="4"/>
      <c r="G6" s="3"/>
      <c r="H6" s="3"/>
      <c r="I6" s="3"/>
      <c r="J6" s="3"/>
      <c r="K6" s="4"/>
    </row>
    <row r="7" spans="1:11" ht="98.25" customHeight="1" thickBot="1" x14ac:dyDescent="0.5">
      <c r="A7" s="85" t="s">
        <v>2</v>
      </c>
      <c r="B7" s="85"/>
      <c r="C7" s="85"/>
      <c r="D7" s="86"/>
      <c r="E7" s="86"/>
      <c r="F7" s="86"/>
      <c r="G7" s="86"/>
      <c r="H7" s="86"/>
      <c r="I7" s="86"/>
      <c r="J7" s="86"/>
      <c r="K7" s="86"/>
    </row>
    <row r="8" spans="1:11" x14ac:dyDescent="0.45">
      <c r="A8" s="3"/>
      <c r="B8" s="3"/>
      <c r="C8" s="3"/>
      <c r="D8" s="3"/>
      <c r="E8" s="3"/>
      <c r="F8" s="4"/>
      <c r="G8" s="3"/>
      <c r="H8" s="3"/>
      <c r="I8" s="3"/>
      <c r="J8" s="3"/>
      <c r="K8" s="4"/>
    </row>
    <row r="9" spans="1:11" ht="19" thickBot="1" x14ac:dyDescent="0.5">
      <c r="A9" s="66" t="s">
        <v>3</v>
      </c>
      <c r="B9" s="66"/>
      <c r="C9" s="66"/>
      <c r="D9" s="67" t="s">
        <v>46</v>
      </c>
      <c r="E9" s="67"/>
      <c r="F9" s="67"/>
      <c r="G9" s="67"/>
      <c r="H9" s="67"/>
      <c r="I9" s="67"/>
      <c r="J9" s="67"/>
      <c r="K9" s="67"/>
    </row>
    <row r="10" spans="1:11" x14ac:dyDescent="0.45">
      <c r="A10" s="3"/>
      <c r="B10" s="3"/>
      <c r="C10" s="3"/>
      <c r="D10" s="3"/>
      <c r="E10" s="12"/>
      <c r="F10" s="4"/>
      <c r="G10" s="3"/>
      <c r="H10" s="3"/>
      <c r="I10" s="3"/>
      <c r="J10" s="3"/>
      <c r="K10" s="4"/>
    </row>
    <row r="11" spans="1:11" ht="19" thickBot="1" x14ac:dyDescent="0.5">
      <c r="A11" s="66" t="s">
        <v>4</v>
      </c>
      <c r="B11" s="66"/>
      <c r="C11" s="66"/>
      <c r="D11" s="67"/>
      <c r="E11" s="67"/>
      <c r="F11" s="67"/>
      <c r="G11" s="67"/>
      <c r="H11" s="67"/>
      <c r="I11" s="67"/>
      <c r="J11" s="67"/>
      <c r="K11" s="67"/>
    </row>
    <row r="12" spans="1:11" x14ac:dyDescent="0.45">
      <c r="A12" s="3"/>
      <c r="B12" s="3"/>
      <c r="C12" s="3"/>
      <c r="D12" s="3"/>
      <c r="E12" s="3"/>
      <c r="F12" s="4"/>
      <c r="G12" s="3"/>
      <c r="H12" s="3"/>
      <c r="I12" s="3"/>
      <c r="J12" s="3"/>
      <c r="K12" s="4"/>
    </row>
    <row r="13" spans="1:11" x14ac:dyDescent="0.45">
      <c r="A13" s="66" t="s">
        <v>5</v>
      </c>
      <c r="B13" s="66"/>
      <c r="C13" s="66"/>
      <c r="D13" s="68" t="s">
        <v>21</v>
      </c>
      <c r="E13" s="69"/>
      <c r="F13" s="69"/>
      <c r="G13" s="69"/>
      <c r="H13" s="69"/>
      <c r="I13" s="69"/>
      <c r="J13" s="69"/>
      <c r="K13" s="69"/>
    </row>
    <row r="14" spans="1:11" ht="19" thickBot="1" x14ac:dyDescent="0.5">
      <c r="A14" s="16"/>
      <c r="B14" s="17"/>
      <c r="C14" s="17"/>
      <c r="D14" s="17"/>
      <c r="E14" s="18"/>
      <c r="F14" s="17"/>
      <c r="G14" s="19"/>
      <c r="H14" s="19"/>
      <c r="I14" s="19"/>
      <c r="J14" s="19"/>
      <c r="K14" s="20"/>
    </row>
    <row r="15" spans="1:11" ht="42.75" customHeight="1" x14ac:dyDescent="0.45">
      <c r="A15" s="70" t="s">
        <v>6</v>
      </c>
      <c r="B15" s="70" t="s">
        <v>7</v>
      </c>
      <c r="C15" s="72" t="s">
        <v>35</v>
      </c>
      <c r="D15" s="70" t="s">
        <v>8</v>
      </c>
      <c r="E15" s="73" t="s">
        <v>9</v>
      </c>
      <c r="F15" s="70" t="s">
        <v>25</v>
      </c>
      <c r="G15" s="75" t="s">
        <v>22</v>
      </c>
      <c r="H15" s="75" t="s">
        <v>23</v>
      </c>
      <c r="I15" s="75"/>
      <c r="J15" s="75"/>
      <c r="K15" s="77" t="s">
        <v>36</v>
      </c>
    </row>
    <row r="16" spans="1:11" x14ac:dyDescent="0.45">
      <c r="A16" s="71"/>
      <c r="B16" s="71"/>
      <c r="C16" s="70"/>
      <c r="D16" s="71"/>
      <c r="E16" s="74"/>
      <c r="F16" s="71"/>
      <c r="G16" s="76"/>
      <c r="H16" s="21" t="s">
        <v>10</v>
      </c>
      <c r="I16" s="21" t="s">
        <v>11</v>
      </c>
      <c r="J16" s="21" t="s">
        <v>12</v>
      </c>
      <c r="K16" s="78"/>
    </row>
    <row r="17" spans="1:11" ht="19" thickBot="1" x14ac:dyDescent="0.5">
      <c r="A17" s="22">
        <v>1</v>
      </c>
      <c r="B17" s="23">
        <v>2</v>
      </c>
      <c r="C17" s="23">
        <v>3</v>
      </c>
      <c r="D17" s="23">
        <v>4</v>
      </c>
      <c r="E17" s="23">
        <v>5</v>
      </c>
      <c r="F17" s="23">
        <v>6</v>
      </c>
      <c r="G17" s="23">
        <v>7</v>
      </c>
      <c r="H17" s="23">
        <v>8</v>
      </c>
      <c r="I17" s="23">
        <v>9</v>
      </c>
      <c r="J17" s="23">
        <v>10</v>
      </c>
      <c r="K17" s="23">
        <v>11</v>
      </c>
    </row>
    <row r="18" spans="1:11" x14ac:dyDescent="0.45">
      <c r="A18" s="79" t="s">
        <v>13</v>
      </c>
      <c r="B18" s="80"/>
      <c r="C18" s="80"/>
      <c r="D18" s="80"/>
      <c r="E18" s="80"/>
      <c r="F18" s="80"/>
      <c r="G18" s="80"/>
      <c r="H18" s="80"/>
      <c r="I18" s="80"/>
      <c r="J18" s="80"/>
      <c r="K18" s="81"/>
    </row>
    <row r="19" spans="1:11" ht="52" x14ac:dyDescent="0.45">
      <c r="A19" s="24">
        <v>1</v>
      </c>
      <c r="B19" s="25" t="s">
        <v>60</v>
      </c>
      <c r="C19" s="55" t="s">
        <v>54</v>
      </c>
      <c r="D19" s="26" t="s">
        <v>27</v>
      </c>
      <c r="E19" s="26">
        <v>1420</v>
      </c>
      <c r="F19" s="28" t="s">
        <v>61</v>
      </c>
      <c r="G19" s="29">
        <v>545</v>
      </c>
      <c r="H19" s="29">
        <v>1</v>
      </c>
      <c r="I19" s="26">
        <v>1</v>
      </c>
      <c r="J19" s="26">
        <v>1</v>
      </c>
      <c r="K19" s="29">
        <f t="shared" ref="K19:K21" si="0">ROUND(E19*G19*H19*I19*J19,2)</f>
        <v>773900</v>
      </c>
    </row>
    <row r="20" spans="1:11" ht="39" x14ac:dyDescent="0.45">
      <c r="A20" s="24">
        <v>2</v>
      </c>
      <c r="B20" s="52" t="s">
        <v>62</v>
      </c>
      <c r="C20" s="55" t="s">
        <v>50</v>
      </c>
      <c r="D20" s="53" t="s">
        <v>34</v>
      </c>
      <c r="E20" s="53">
        <v>15</v>
      </c>
      <c r="F20" s="54" t="s">
        <v>63</v>
      </c>
      <c r="G20" s="38">
        <v>9172</v>
      </c>
      <c r="H20" s="38">
        <v>1</v>
      </c>
      <c r="I20" s="53">
        <v>1.3</v>
      </c>
      <c r="J20" s="53">
        <v>1</v>
      </c>
      <c r="K20" s="38">
        <f t="shared" si="0"/>
        <v>178854</v>
      </c>
    </row>
    <row r="21" spans="1:11" ht="26" x14ac:dyDescent="0.45">
      <c r="A21" s="24">
        <v>3</v>
      </c>
      <c r="B21" s="52" t="s">
        <v>56</v>
      </c>
      <c r="C21" s="55" t="s">
        <v>50</v>
      </c>
      <c r="D21" s="53" t="s">
        <v>34</v>
      </c>
      <c r="E21" s="53">
        <v>15</v>
      </c>
      <c r="F21" s="54" t="s">
        <v>55</v>
      </c>
      <c r="G21" s="38">
        <v>1897</v>
      </c>
      <c r="H21" s="38">
        <v>1</v>
      </c>
      <c r="I21" s="53">
        <v>1</v>
      </c>
      <c r="J21" s="53">
        <v>1</v>
      </c>
      <c r="K21" s="38">
        <f t="shared" si="0"/>
        <v>28455</v>
      </c>
    </row>
    <row r="22" spans="1:11" x14ac:dyDescent="0.45">
      <c r="A22" s="30"/>
      <c r="B22" s="31" t="s">
        <v>15</v>
      </c>
      <c r="C22" s="31"/>
      <c r="D22" s="26" t="s">
        <v>14</v>
      </c>
      <c r="E22" s="26" t="s">
        <v>14</v>
      </c>
      <c r="F22" s="26" t="s">
        <v>14</v>
      </c>
      <c r="G22" s="26" t="s">
        <v>14</v>
      </c>
      <c r="H22" s="26" t="s">
        <v>14</v>
      </c>
      <c r="I22" s="26" t="s">
        <v>14</v>
      </c>
      <c r="J22" s="26" t="s">
        <v>14</v>
      </c>
      <c r="K22" s="32">
        <f>ROUND(SUM(K19:K21),2)</f>
        <v>981209</v>
      </c>
    </row>
    <row r="23" spans="1:11" x14ac:dyDescent="0.45">
      <c r="A23" s="65" t="s">
        <v>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</row>
    <row r="24" spans="1:11" ht="65" x14ac:dyDescent="0.45">
      <c r="A24" s="56">
        <v>4</v>
      </c>
      <c r="B24" s="25" t="s">
        <v>64</v>
      </c>
      <c r="C24" s="55" t="s">
        <v>54</v>
      </c>
      <c r="D24" s="26" t="s">
        <v>27</v>
      </c>
      <c r="E24" s="26">
        <v>1420</v>
      </c>
      <c r="F24" s="28" t="s">
        <v>65</v>
      </c>
      <c r="G24" s="29">
        <v>145</v>
      </c>
      <c r="H24" s="29">
        <v>1</v>
      </c>
      <c r="I24" s="26">
        <v>1.2</v>
      </c>
      <c r="J24" s="26">
        <v>1.1000000000000001</v>
      </c>
      <c r="K24" s="29">
        <f t="shared" ref="K24" si="1">ROUND(E24*G24*H24*I24*J24,2)</f>
        <v>271788</v>
      </c>
    </row>
    <row r="25" spans="1:11" ht="39" x14ac:dyDescent="0.45">
      <c r="A25" s="56">
        <v>5</v>
      </c>
      <c r="B25" s="52" t="s">
        <v>66</v>
      </c>
      <c r="C25" s="55" t="s">
        <v>50</v>
      </c>
      <c r="D25" s="53" t="s">
        <v>34</v>
      </c>
      <c r="E25" s="53">
        <v>15</v>
      </c>
      <c r="F25" s="54" t="s">
        <v>51</v>
      </c>
      <c r="G25" s="38">
        <v>3599</v>
      </c>
      <c r="H25" s="38">
        <v>1</v>
      </c>
      <c r="I25" s="53">
        <v>1</v>
      </c>
      <c r="J25" s="53">
        <v>1</v>
      </c>
      <c r="K25" s="38">
        <f t="shared" ref="K25:K26" si="2">ROUND(E25*G25*H25*I25*J25,2)</f>
        <v>53985</v>
      </c>
    </row>
    <row r="26" spans="1:11" ht="39" x14ac:dyDescent="0.45">
      <c r="A26" s="56">
        <v>6</v>
      </c>
      <c r="B26" s="52" t="s">
        <v>52</v>
      </c>
      <c r="C26" s="55" t="s">
        <v>50</v>
      </c>
      <c r="D26" s="53" t="s">
        <v>34</v>
      </c>
      <c r="E26" s="53">
        <v>15</v>
      </c>
      <c r="F26" s="54" t="s">
        <v>53</v>
      </c>
      <c r="G26" s="38">
        <v>428</v>
      </c>
      <c r="H26" s="38">
        <v>1</v>
      </c>
      <c r="I26" s="53">
        <v>1</v>
      </c>
      <c r="J26" s="53">
        <v>1</v>
      </c>
      <c r="K26" s="38">
        <f t="shared" si="2"/>
        <v>6420</v>
      </c>
    </row>
    <row r="27" spans="1:11" ht="26" x14ac:dyDescent="0.45">
      <c r="A27" s="24">
        <v>7</v>
      </c>
      <c r="B27" s="25" t="s">
        <v>45</v>
      </c>
      <c r="C27" s="25"/>
      <c r="D27" s="26" t="s">
        <v>34</v>
      </c>
      <c r="E27" s="27">
        <v>15</v>
      </c>
      <c r="F27" s="28" t="s">
        <v>44</v>
      </c>
      <c r="G27" s="29">
        <v>160</v>
      </c>
      <c r="H27" s="26">
        <v>1</v>
      </c>
      <c r="I27" s="26">
        <v>1</v>
      </c>
      <c r="J27" s="26">
        <v>1</v>
      </c>
      <c r="K27" s="29">
        <f t="shared" ref="K27" si="3">ROUND(E27*G27*H27*I27*J27,2)</f>
        <v>2400</v>
      </c>
    </row>
    <row r="28" spans="1:11" x14ac:dyDescent="0.45">
      <c r="A28" s="33"/>
      <c r="B28" s="31" t="s">
        <v>19</v>
      </c>
      <c r="C28" s="31"/>
      <c r="D28" s="26" t="s">
        <v>14</v>
      </c>
      <c r="E28" s="26" t="s">
        <v>14</v>
      </c>
      <c r="F28" s="26" t="s">
        <v>14</v>
      </c>
      <c r="G28" s="26" t="s">
        <v>14</v>
      </c>
      <c r="H28" s="26" t="s">
        <v>14</v>
      </c>
      <c r="I28" s="26" t="s">
        <v>14</v>
      </c>
      <c r="J28" s="26" t="s">
        <v>14</v>
      </c>
      <c r="K28" s="32">
        <f>ROUND(SUM(K24:K27),2)</f>
        <v>334593</v>
      </c>
    </row>
    <row r="29" spans="1:11" ht="24.75" customHeight="1" x14ac:dyDescent="0.45">
      <c r="A29" s="64" t="s">
        <v>31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</row>
    <row r="30" spans="1:11" ht="66.75" customHeight="1" x14ac:dyDescent="0.45">
      <c r="A30" s="34"/>
      <c r="B30" s="35" t="s">
        <v>7</v>
      </c>
      <c r="C30" s="59" t="s">
        <v>37</v>
      </c>
      <c r="D30" s="60"/>
      <c r="E30" s="34" t="s">
        <v>38</v>
      </c>
      <c r="F30" s="34" t="s">
        <v>25</v>
      </c>
      <c r="G30" s="61" t="s">
        <v>39</v>
      </c>
      <c r="H30" s="62"/>
      <c r="I30" s="62"/>
      <c r="J30" s="63"/>
      <c r="K30" s="34" t="s">
        <v>40</v>
      </c>
    </row>
    <row r="31" spans="1:11" ht="26" x14ac:dyDescent="0.45">
      <c r="A31" s="24">
        <v>8</v>
      </c>
      <c r="B31" s="25" t="s">
        <v>16</v>
      </c>
      <c r="C31" s="36">
        <v>0</v>
      </c>
      <c r="D31" s="26" t="s">
        <v>29</v>
      </c>
      <c r="E31" s="27">
        <f t="shared" ref="E31:E32" si="4">$K$22</f>
        <v>981209</v>
      </c>
      <c r="F31" s="28" t="s">
        <v>68</v>
      </c>
      <c r="G31" s="26">
        <v>1</v>
      </c>
      <c r="H31" s="37">
        <v>1</v>
      </c>
      <c r="I31" s="37">
        <v>1</v>
      </c>
      <c r="J31" s="37">
        <v>1</v>
      </c>
      <c r="K31" s="29">
        <f t="shared" ref="K31" si="5">ROUND(C31/100*E31*G31*H31*I31*J31,2)</f>
        <v>0</v>
      </c>
    </row>
    <row r="32" spans="1:11" ht="39" x14ac:dyDescent="0.45">
      <c r="A32" s="24">
        <v>9</v>
      </c>
      <c r="B32" s="25" t="s">
        <v>67</v>
      </c>
      <c r="C32" s="36">
        <v>10</v>
      </c>
      <c r="D32" s="26" t="s">
        <v>29</v>
      </c>
      <c r="E32" s="27">
        <f t="shared" si="4"/>
        <v>981209</v>
      </c>
      <c r="F32" s="28" t="s">
        <v>69</v>
      </c>
      <c r="G32" s="26">
        <v>1</v>
      </c>
      <c r="H32" s="37">
        <v>1</v>
      </c>
      <c r="I32" s="37">
        <v>1</v>
      </c>
      <c r="J32" s="37">
        <v>1</v>
      </c>
      <c r="K32" s="29">
        <f t="shared" ref="K32" si="6">ROUND(C32/100*E32*G32*H32*I32*J32,2)</f>
        <v>98120.9</v>
      </c>
    </row>
    <row r="33" spans="1:11" ht="20.25" customHeight="1" x14ac:dyDescent="0.45">
      <c r="A33" s="24">
        <v>10</v>
      </c>
      <c r="B33" s="25" t="s">
        <v>26</v>
      </c>
      <c r="C33" s="36">
        <v>10</v>
      </c>
      <c r="D33" s="26" t="s">
        <v>29</v>
      </c>
      <c r="E33" s="27">
        <f>K22+K28+K31+K32</f>
        <v>1413922.9</v>
      </c>
      <c r="F33" s="28" t="s">
        <v>32</v>
      </c>
      <c r="G33" s="26">
        <v>1</v>
      </c>
      <c r="H33" s="37">
        <v>1</v>
      </c>
      <c r="I33" s="37">
        <v>1</v>
      </c>
      <c r="J33" s="37">
        <v>1</v>
      </c>
      <c r="K33" s="29">
        <f>ROUND((C33/100)*E33*G33*H33*I33*J33,2)</f>
        <v>141392.29</v>
      </c>
    </row>
    <row r="34" spans="1:11" ht="26" x14ac:dyDescent="0.45">
      <c r="A34" s="24">
        <v>11</v>
      </c>
      <c r="B34" s="25" t="s">
        <v>70</v>
      </c>
      <c r="C34" s="36">
        <v>3.75</v>
      </c>
      <c r="D34" s="26" t="s">
        <v>29</v>
      </c>
      <c r="E34" s="27">
        <f>$K$22+K31+K32</f>
        <v>1079329.8999999999</v>
      </c>
      <c r="F34" s="28" t="s">
        <v>58</v>
      </c>
      <c r="G34" s="26">
        <v>1</v>
      </c>
      <c r="H34" s="37">
        <v>1</v>
      </c>
      <c r="I34" s="37">
        <v>1</v>
      </c>
      <c r="J34" s="37">
        <v>1</v>
      </c>
      <c r="K34" s="29">
        <f t="shared" ref="K34:K35" si="7">ROUND(C34/100*E34*G34*H34*I34*J34,2)</f>
        <v>40474.870000000003</v>
      </c>
    </row>
    <row r="35" spans="1:11" ht="26" x14ac:dyDescent="0.45">
      <c r="A35" s="24">
        <v>12</v>
      </c>
      <c r="B35" s="25" t="s">
        <v>71</v>
      </c>
      <c r="C35" s="36">
        <v>39.200000000000003</v>
      </c>
      <c r="D35" s="26" t="s">
        <v>29</v>
      </c>
      <c r="E35" s="27">
        <f>$K$22+K34+K32+K31</f>
        <v>1119804.77</v>
      </c>
      <c r="F35" s="28" t="s">
        <v>49</v>
      </c>
      <c r="G35" s="26">
        <v>1</v>
      </c>
      <c r="H35" s="37">
        <v>1</v>
      </c>
      <c r="I35" s="37">
        <v>1</v>
      </c>
      <c r="J35" s="37">
        <v>1</v>
      </c>
      <c r="K35" s="29">
        <f t="shared" si="7"/>
        <v>438963.47</v>
      </c>
    </row>
    <row r="36" spans="1:11" ht="26" x14ac:dyDescent="0.45">
      <c r="A36" s="24">
        <v>13</v>
      </c>
      <c r="B36" s="25" t="s">
        <v>17</v>
      </c>
      <c r="C36" s="36">
        <v>6</v>
      </c>
      <c r="D36" s="26" t="s">
        <v>29</v>
      </c>
      <c r="E36" s="27">
        <f>$K$22+K34+K32+K31</f>
        <v>1119804.77</v>
      </c>
      <c r="F36" s="28" t="s">
        <v>41</v>
      </c>
      <c r="G36" s="26">
        <v>2.5</v>
      </c>
      <c r="H36" s="37">
        <v>1</v>
      </c>
      <c r="I36" s="37">
        <v>1</v>
      </c>
      <c r="J36" s="37">
        <v>1</v>
      </c>
      <c r="K36" s="29">
        <f>ROUND(C36/100*E36*G36*H36*I36*J36,2)</f>
        <v>167970.72</v>
      </c>
    </row>
    <row r="37" spans="1:11" ht="39" x14ac:dyDescent="0.45">
      <c r="A37" s="24">
        <v>14</v>
      </c>
      <c r="B37" s="25" t="s">
        <v>59</v>
      </c>
      <c r="C37" s="36">
        <v>35</v>
      </c>
      <c r="D37" s="26" t="s">
        <v>29</v>
      </c>
      <c r="E37" s="27">
        <f>$K$22+K28+K31+K32+K33+K34+K35+K36</f>
        <v>2202724.25</v>
      </c>
      <c r="F37" s="28" t="s">
        <v>57</v>
      </c>
      <c r="G37" s="26">
        <v>1</v>
      </c>
      <c r="H37" s="37">
        <v>1</v>
      </c>
      <c r="I37" s="37">
        <v>1</v>
      </c>
      <c r="J37" s="37">
        <v>1</v>
      </c>
      <c r="K37" s="29">
        <f t="shared" ref="K37" si="8">ROUND(C37/100*E37*G37*H37*I37*J37,2)</f>
        <v>770953.49</v>
      </c>
    </row>
    <row r="38" spans="1:11" x14ac:dyDescent="0.45">
      <c r="A38" s="30">
        <v>15</v>
      </c>
      <c r="B38" s="31" t="s">
        <v>18</v>
      </c>
      <c r="C38" s="31"/>
      <c r="D38" s="26" t="s">
        <v>14</v>
      </c>
      <c r="E38" s="26" t="s">
        <v>14</v>
      </c>
      <c r="F38" s="26" t="s">
        <v>14</v>
      </c>
      <c r="G38" s="26" t="s">
        <v>14</v>
      </c>
      <c r="H38" s="26" t="s">
        <v>14</v>
      </c>
      <c r="I38" s="26" t="s">
        <v>14</v>
      </c>
      <c r="J38" s="26" t="s">
        <v>14</v>
      </c>
      <c r="K38" s="32">
        <f>ROUND(SUM(K31:K37),2)</f>
        <v>1657875.74</v>
      </c>
    </row>
    <row r="39" spans="1:11" x14ac:dyDescent="0.45">
      <c r="A39" s="30">
        <v>16</v>
      </c>
      <c r="B39" s="31" t="s">
        <v>28</v>
      </c>
      <c r="C39" s="31"/>
      <c r="D39" s="26" t="s">
        <v>14</v>
      </c>
      <c r="E39" s="26" t="s">
        <v>14</v>
      </c>
      <c r="F39" s="39" t="s">
        <v>14</v>
      </c>
      <c r="G39" s="26" t="s">
        <v>14</v>
      </c>
      <c r="H39" s="26" t="s">
        <v>14</v>
      </c>
      <c r="I39" s="26" t="s">
        <v>14</v>
      </c>
      <c r="J39" s="26" t="s">
        <v>14</v>
      </c>
      <c r="K39" s="32">
        <f>ROUND(K22+K28+K38,2)</f>
        <v>2973677.74</v>
      </c>
    </row>
    <row r="40" spans="1:11" ht="91" x14ac:dyDescent="0.45">
      <c r="A40" s="30">
        <v>17</v>
      </c>
      <c r="B40" s="40" t="s">
        <v>33</v>
      </c>
      <c r="C40" s="40"/>
      <c r="D40" s="41" t="s">
        <v>14</v>
      </c>
      <c r="E40" s="41" t="s">
        <v>14</v>
      </c>
      <c r="F40" s="39" t="s">
        <v>72</v>
      </c>
      <c r="G40" s="41" t="s">
        <v>14</v>
      </c>
      <c r="H40" s="42">
        <v>6.54</v>
      </c>
      <c r="I40" s="43">
        <v>1</v>
      </c>
      <c r="J40" s="41" t="s">
        <v>14</v>
      </c>
      <c r="K40" s="44">
        <f>ROUND(H40*K39,2)</f>
        <v>19447852.420000002</v>
      </c>
    </row>
    <row r="41" spans="1:11" ht="26" x14ac:dyDescent="0.45">
      <c r="A41" s="30">
        <v>18</v>
      </c>
      <c r="B41" s="45" t="s">
        <v>47</v>
      </c>
      <c r="C41" s="45"/>
      <c r="D41" s="38"/>
      <c r="E41" s="46"/>
      <c r="F41" s="47"/>
      <c r="G41" s="38"/>
      <c r="H41" s="38">
        <v>1</v>
      </c>
      <c r="I41" s="38"/>
      <c r="J41" s="38"/>
      <c r="K41" s="44">
        <f>H41*K40</f>
        <v>19447852.420000002</v>
      </c>
    </row>
    <row r="42" spans="1:11" x14ac:dyDescent="0.45">
      <c r="A42" s="48"/>
      <c r="B42" s="13"/>
      <c r="C42" s="13"/>
      <c r="D42" s="57"/>
      <c r="E42" s="57"/>
      <c r="F42" s="14" t="s">
        <v>42</v>
      </c>
      <c r="G42" s="49"/>
      <c r="H42" s="49"/>
      <c r="I42" s="49"/>
      <c r="J42" s="49"/>
      <c r="K42" s="50"/>
    </row>
    <row r="43" spans="1:11" x14ac:dyDescent="0.45">
      <c r="B43" s="13"/>
      <c r="C43" s="13"/>
      <c r="D43" s="58"/>
      <c r="E43" s="58"/>
    </row>
    <row r="44" spans="1:11" ht="29.25" customHeight="1" x14ac:dyDescent="0.45">
      <c r="B44" s="13"/>
      <c r="C44" s="13"/>
      <c r="D44" s="58"/>
      <c r="E44" s="58"/>
      <c r="F44" s="14" t="s">
        <v>43</v>
      </c>
    </row>
    <row r="45" spans="1:11" ht="56.25" customHeight="1" x14ac:dyDescent="0.45">
      <c r="B45" s="57" t="s">
        <v>48</v>
      </c>
      <c r="C45" s="57"/>
      <c r="D45" s="57"/>
      <c r="E45" s="57"/>
      <c r="F45" s="57"/>
      <c r="G45" s="57"/>
      <c r="H45" s="57"/>
      <c r="I45" s="57"/>
      <c r="J45" s="57"/>
      <c r="K45" s="57"/>
    </row>
    <row r="46" spans="1:11" ht="28.5" customHeight="1" x14ac:dyDescent="0.45">
      <c r="B46" s="51"/>
      <c r="C46" s="51"/>
      <c r="D46" s="58"/>
      <c r="E46" s="58"/>
    </row>
    <row r="47" spans="1:11" ht="30" customHeight="1" x14ac:dyDescent="0.45">
      <c r="B47" s="13"/>
      <c r="C47" s="13"/>
      <c r="D47" s="58"/>
      <c r="E47" s="58"/>
    </row>
  </sheetData>
  <mergeCells count="31">
    <mergeCell ref="A9:C9"/>
    <mergeCell ref="D9:K9"/>
    <mergeCell ref="A2:K2"/>
    <mergeCell ref="A3:K3"/>
    <mergeCell ref="D5:H5"/>
    <mergeCell ref="A7:C7"/>
    <mergeCell ref="D7:K7"/>
    <mergeCell ref="A29:K29"/>
    <mergeCell ref="A11:C11"/>
    <mergeCell ref="D11:K11"/>
    <mergeCell ref="A13:C13"/>
    <mergeCell ref="D13:K13"/>
    <mergeCell ref="A15:A16"/>
    <mergeCell ref="B15:B16"/>
    <mergeCell ref="C15:C16"/>
    <mergeCell ref="D15:D16"/>
    <mergeCell ref="E15:E16"/>
    <mergeCell ref="F15:F16"/>
    <mergeCell ref="G15:G16"/>
    <mergeCell ref="H15:J15"/>
    <mergeCell ref="K15:K16"/>
    <mergeCell ref="A18:K18"/>
    <mergeCell ref="A23:K23"/>
    <mergeCell ref="B45:K45"/>
    <mergeCell ref="D46:E46"/>
    <mergeCell ref="D47:E47"/>
    <mergeCell ref="C30:D30"/>
    <mergeCell ref="G30:J30"/>
    <mergeCell ref="D42:E42"/>
    <mergeCell ref="D43:E43"/>
    <mergeCell ref="D44:E44"/>
  </mergeCells>
  <conditionalFormatting sqref="A21 A33:A36 A27">
    <cfRule type="expression" dxfId="5" priority="24" stopIfTrue="1">
      <formula>IF(#REF!="К",8,)</formula>
    </cfRule>
  </conditionalFormatting>
  <conditionalFormatting sqref="A19">
    <cfRule type="expression" dxfId="4" priority="9" stopIfTrue="1">
      <formula>IF(#REF!="К",8,)</formula>
    </cfRule>
  </conditionalFormatting>
  <conditionalFormatting sqref="A20">
    <cfRule type="expression" dxfId="3" priority="8" stopIfTrue="1">
      <formula>IF(#REF!="К",8,)</formula>
    </cfRule>
  </conditionalFormatting>
  <conditionalFormatting sqref="A31">
    <cfRule type="expression" dxfId="2" priority="3" stopIfTrue="1">
      <formula>IF(#REF!="К",8,)</formula>
    </cfRule>
  </conditionalFormatting>
  <conditionalFormatting sqref="A37">
    <cfRule type="expression" dxfId="1" priority="2" stopIfTrue="1">
      <formula>IF(#REF!="К",8,)</formula>
    </cfRule>
  </conditionalFormatting>
  <conditionalFormatting sqref="A32">
    <cfRule type="expression" dxfId="0" priority="1" stopIfTrue="1">
      <formula>IF(#REF!="К",8,)</formula>
    </cfRule>
  </conditionalFormatting>
  <pageMargins left="0.7" right="0.7" top="0.75" bottom="0.75" header="0.3" footer="0.3"/>
  <pageSetup paperSize="9" scale="58" orientation="portrait" horizontalDpi="300" r:id="rId1"/>
  <rowBreaks count="1" manualBreakCount="1">
    <brk id="44" max="10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CB64B838FC8304498448B48E5F9CC34" ma:contentTypeVersion="2" ma:contentTypeDescription="Создание документа." ma:contentTypeScope="" ma:versionID="7481c22d1b8bee3a381719a328c1707f">
  <xsd:schema xmlns:xsd="http://www.w3.org/2001/XMLSchema" xmlns:xs="http://www.w3.org/2001/XMLSchema" xmlns:p="http://schemas.microsoft.com/office/2006/metadata/properties" xmlns:ns2="7532639d-57fc-49fd-84ba-dbf32f04bf8a" targetNamespace="http://schemas.microsoft.com/office/2006/metadata/properties" ma:root="true" ma:fieldsID="3d29d91f2ff50a899256079028f2427b" ns2:_="">
    <xsd:import namespace="7532639d-57fc-49fd-84ba-dbf32f04bf8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2639d-57fc-49fd-84ba-dbf32f04bf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532639d-57fc-49fd-84ba-dbf32f04bf8a">
      <UserInfo>
        <DisplayName>Куздобенко Виктория Александровна</DisplayName>
        <AccountId>5511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EB71CC8-873B-4AB0-97F3-2607C0512C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7CDC8D-C2C9-4859-A633-4AD80D6C74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32639d-57fc-49fd-84ba-dbf32f04bf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13BCB4-3800-477E-A2C2-FE82B3D77D72}">
  <ds:schemaRefs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7532639d-57fc-49fd-84ba-dbf32f04bf8a"/>
    <ds:schemaRef ds:uri="http://purl.org/dc/dcmitype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№1 ИГДИ</vt:lpstr>
      <vt:lpstr>'№1 ИГДИ'!Область_печати</vt:lpstr>
    </vt:vector>
  </TitlesOfParts>
  <Company>SIBUR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Кузиков Анатолий Анатольевич</dc:creator>
  <cp:lastModifiedBy>Ксения Кузнецова</cp:lastModifiedBy>
  <dcterms:created xsi:type="dcterms:W3CDTF">2020-10-21T14:54:31Z</dcterms:created>
  <dcterms:modified xsi:type="dcterms:W3CDTF">2026-02-04T05:14:43Z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0x010100CCB64B838FC8304498448B48E5F9CC34</vt:lpwstr>
  </property>
  <property fmtid="{D5CDD505-2E9C-101B-9397-08002B2CF9AE}" pid="3" name="_dlc_DocIdItemGuid">
    <vt:lpwstr>0a6eaa06-a8d2-4504-b3f1-ea4a727bbf5b</vt:lpwstr>
  </property>
</Properties>
</file>