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seniya.kuznetsova\Desktop\СМЕТА\"/>
    </mc:Choice>
  </mc:AlternateContent>
  <bookViews>
    <workbookView xWindow="0" yWindow="0" windowWidth="2160" windowHeight="0"/>
  </bookViews>
  <sheets>
    <sheet name="№1_ИГДИ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\AUTOEXEC" localSheetId="0">#REF!</definedName>
    <definedName name="\AUTOEXEC">#REF!</definedName>
    <definedName name="\k" localSheetId="0">#REF!</definedName>
    <definedName name="\k">#REF!</definedName>
    <definedName name="\m" localSheetId="0">#REF!</definedName>
    <definedName name="\m">#REF!</definedName>
    <definedName name="\s" localSheetId="0">#REF!</definedName>
    <definedName name="\s">#REF!</definedName>
    <definedName name="\z" localSheetId="0">#REF!</definedName>
    <definedName name="\z">#REF!</definedName>
    <definedName name="__xlfn.BAHTTEXT" hidden="1">#NAME?</definedName>
    <definedName name="_FilterDatabase" localSheetId="0" hidden="1">#REF!</definedName>
    <definedName name="_FilterDatabase" hidden="1">#REF!</definedName>
    <definedName name="_xlnm._FilterDatabase" localSheetId="0" hidden="1">#REF!</definedName>
    <definedName name="_xlnm._FilterDatabase" hidden="1">#REF!</definedName>
    <definedName name="a" localSheetId="0">#REF!</definedName>
    <definedName name="a">#REF!</definedName>
    <definedName name="asd" localSheetId="0">[1]топография!#REF!</definedName>
    <definedName name="asd">[1]топография!#REF!</definedName>
    <definedName name="dck" localSheetId="0">[2]топография!#REF!</definedName>
    <definedName name="dck">[2]топография!#REF!</definedName>
    <definedName name="ger" localSheetId="0">[1]топография!#REF!</definedName>
    <definedName name="ger">[1]топография!#REF!</definedName>
    <definedName name="Itog" localSheetId="0">#REF!</definedName>
    <definedName name="Itog">#REF!</definedName>
    <definedName name="SM" localSheetId="0">#REF!</definedName>
    <definedName name="SM">#REF!</definedName>
    <definedName name="SM_SM" localSheetId="0">#REF!</definedName>
    <definedName name="SM_SM">#REF!</definedName>
    <definedName name="SM_STO" localSheetId="0">#REF!</definedName>
    <definedName name="SM_STO">#REF!</definedName>
    <definedName name="SM_STO1" localSheetId="0">#REF!</definedName>
    <definedName name="SM_STO1">#REF!</definedName>
    <definedName name="SM_STO2" localSheetId="0">#REF!</definedName>
    <definedName name="SM_STO2">#REF!</definedName>
    <definedName name="SM_STO3" localSheetId="0">#REF!</definedName>
    <definedName name="SM_STO3">#REF!</definedName>
    <definedName name="SM_STO4" localSheetId="0">#REF!</definedName>
    <definedName name="SM_STO4">#REF!</definedName>
    <definedName name="SUM_" localSheetId="0">#REF!</definedName>
    <definedName name="SUM_">#REF!</definedName>
    <definedName name="SUM_1" localSheetId="0">#REF!</definedName>
    <definedName name="SUM_1">#REF!</definedName>
    <definedName name="SUM_3" localSheetId="0">#REF!</definedName>
    <definedName name="SUM_3">#REF!</definedName>
    <definedName name="ZAK1" localSheetId="0">#REF!</definedName>
    <definedName name="ZAK1">#REF!</definedName>
    <definedName name="ZAK2" localSheetId="0">#REF!</definedName>
    <definedName name="ZAK2">#REF!</definedName>
    <definedName name="а" localSheetId="0">#REF!</definedName>
    <definedName name="а">#REF!</definedName>
    <definedName name="а36" localSheetId="0">#REF!</definedName>
    <definedName name="а36">#REF!</definedName>
    <definedName name="АБ">[3]Лист2!$B$34:$B$49</definedName>
    <definedName name="бесконечность">[4]Лист2!$B$78:$B$85</definedName>
    <definedName name="бт">[3]Лист2!$B$99:$B$100</definedName>
    <definedName name="в" localSheetId="0">#REF!</definedName>
    <definedName name="в">#REF!</definedName>
    <definedName name="внешний">[3]Лист2!$B$166:$B$172</definedName>
    <definedName name="внутренний">[3]Лист2!$B$127:$B$131</definedName>
    <definedName name="время">[3]Лист2!$B$174:$B$177</definedName>
    <definedName name="Всего_по_смете" localSheetId="0">#REF!</definedName>
    <definedName name="Всего_по_смете">#REF!</definedName>
    <definedName name="Вспомогательные_работы" localSheetId="0">#REF!</definedName>
    <definedName name="Вспомогательные_работы">#REF!</definedName>
    <definedName name="вукепр" localSheetId="0">#REF!</definedName>
    <definedName name="вукепр">#REF!</definedName>
    <definedName name="дбшл" localSheetId="0">[5]топография!#REF!</definedName>
    <definedName name="дбшл">[5]топография!#REF!</definedName>
    <definedName name="длор" localSheetId="0">#REF!</definedName>
    <definedName name="длор">#REF!</definedName>
    <definedName name="ДСК" localSheetId="0">[1]топография!#REF!</definedName>
    <definedName name="ДСК">[1]топография!#REF!</definedName>
    <definedName name="дьог" localSheetId="0">#REF!</definedName>
    <definedName name="дьог">#REF!</definedName>
    <definedName name="ждл" localSheetId="0">[1]топография!#REF!</definedName>
    <definedName name="ждл">[1]топография!#REF!</definedName>
    <definedName name="жщдбюд" localSheetId="0">#REF!</definedName>
    <definedName name="жщдбюд">#REF!</definedName>
    <definedName name="Зависимые" localSheetId="0">#REF!</definedName>
    <definedName name="Зависимые">#REF!</definedName>
    <definedName name="Итого_по_разделу_V" localSheetId="0">#REF!</definedName>
    <definedName name="Итого_по_разделу_V">#REF!</definedName>
    <definedName name="Итого_по_смете" localSheetId="0">#REF!</definedName>
    <definedName name="Итого_по_смете">#REF!</definedName>
    <definedName name="калплан" localSheetId="0">#REF!</definedName>
    <definedName name="калплан">#REF!</definedName>
    <definedName name="Камеральных" localSheetId="0">#REF!</definedName>
    <definedName name="Камеральных">#REF!</definedName>
    <definedName name="Каналы">[3]Лист2!$B$6:$B$13</definedName>
    <definedName name="КП23" localSheetId="0" hidden="1">#REF!</definedName>
    <definedName name="КП23" hidden="1">#REF!</definedName>
    <definedName name="Курс_доллара">'[6]Курс доллара'!$A$2</definedName>
    <definedName name="л" localSheetId="0">#REF!</definedName>
    <definedName name="л">#REF!</definedName>
    <definedName name="лгоь" localSheetId="0">#REF!</definedName>
    <definedName name="лгоь">#REF!</definedName>
    <definedName name="лор" localSheetId="0">[7]топография!#REF!</definedName>
    <definedName name="лор">[7]топография!#REF!</definedName>
    <definedName name="лорп" localSheetId="0">#REF!</definedName>
    <definedName name="лорп">#REF!</definedName>
    <definedName name="льб" localSheetId="0">#REF!</definedName>
    <definedName name="льб">#REF!</definedName>
    <definedName name="льогнрт" localSheetId="0">#REF!</definedName>
    <definedName name="льогнрт">#REF!</definedName>
    <definedName name="о" localSheetId="0">#REF!</definedName>
    <definedName name="о">#REF!</definedName>
    <definedName name="_xlnm.Print_Area" localSheetId="0">№1_ИГДИ!$A$1:$K$42</definedName>
    <definedName name="п" localSheetId="0">#REF!</definedName>
    <definedName name="п">#REF!</definedName>
    <definedName name="план" localSheetId="0">[1]топография!#REF!</definedName>
    <definedName name="план">[1]топография!#REF!</definedName>
    <definedName name="Полевые" localSheetId="0">#REF!</definedName>
    <definedName name="Полевые">#REF!</definedName>
    <definedName name="полее" localSheetId="0">#REF!</definedName>
    <definedName name="полее">#REF!</definedName>
    <definedName name="привязка">[3]Лист2!$B$102:$B$111</definedName>
    <definedName name="про" localSheetId="0">#REF!</definedName>
    <definedName name="про">#REF!</definedName>
    <definedName name="пробная" localSheetId="0">#REF!</definedName>
    <definedName name="пробная">#REF!</definedName>
    <definedName name="профилирование">[4]Лист2!$B$94:$B$97</definedName>
    <definedName name="Прочие_работы" localSheetId="0">#REF!</definedName>
    <definedName name="Прочие_работы">#REF!</definedName>
    <definedName name="районный">[3]Лист2!$B$208:$B$219</definedName>
    <definedName name="рол" localSheetId="0">#REF!</definedName>
    <definedName name="рол">#REF!</definedName>
    <definedName name="свод1" localSheetId="0">[5]топография!#REF!</definedName>
    <definedName name="свод1">[5]топография!#REF!</definedName>
    <definedName name="север">[3]Лист2!$B$221:$B$224</definedName>
    <definedName name="сейсмаобр">[3]Лист2!$B$121:$B$125</definedName>
    <definedName name="Сейсмика">[3]Лист2!$B$16:$B$31</definedName>
    <definedName name="Тип">[8]Лист2!$B$1:$B$4</definedName>
    <definedName name="ф" localSheetId="0">#REF!</definedName>
    <definedName name="ф">#REF!</definedName>
    <definedName name="ы" localSheetId="0">[5]топография!#REF!</definedName>
    <definedName name="ы">[5]топография!#REF!</definedName>
    <definedName name="ыф" localSheetId="0">#REF!</definedName>
    <definedName name="ыф">#REF!</definedName>
    <definedName name="Электра">[3]Лист2!$B$51:$B$75</definedName>
    <definedName name="эхзжю" localSheetId="0">[1]топография!#REF!</definedName>
    <definedName name="эхзжю">[1]топография!#REF!</definedName>
    <definedName name="ю" localSheetId="0">[5]топография!#REF!</definedName>
    <definedName name="ю">[5]топография!#REF!</definedName>
    <definedName name="юб" localSheetId="0">#REF!</definedName>
    <definedName name="юб">#REF!</definedName>
    <definedName name="я" localSheetId="0">#REF!</definedName>
    <definedName name="я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9" i="1" l="1"/>
  <c r="K38" i="1"/>
  <c r="E38" i="1"/>
  <c r="K27" i="1"/>
  <c r="K24" i="1"/>
  <c r="K20" i="1"/>
  <c r="K29" i="1" l="1"/>
  <c r="K28" i="1"/>
  <c r="K22" i="1"/>
  <c r="K21" i="1"/>
  <c r="K30" i="1" l="1"/>
  <c r="K19" i="1" l="1"/>
  <c r="E35" i="1" l="1"/>
  <c r="K31" i="1"/>
  <c r="K26" i="1"/>
  <c r="K32" i="1" l="1"/>
  <c r="K35" i="1" l="1"/>
  <c r="E36" i="1" l="1"/>
  <c r="K36" i="1" s="1"/>
  <c r="E37" i="1"/>
  <c r="K37" i="1" s="1"/>
  <c r="K40" i="1" l="1"/>
  <c r="K41" i="1" s="1"/>
  <c r="K42" i="1" s="1"/>
</calcChain>
</file>

<file path=xl/sharedStrings.xml><?xml version="1.0" encoding="utf-8"?>
<sst xmlns="http://schemas.openxmlformats.org/spreadsheetml/2006/main" count="122" uniqueCount="74">
  <si>
    <t>СМЕТА № 1</t>
  </si>
  <si>
    <t>на   изыскательские  работы</t>
  </si>
  <si>
    <t>Инженерно-геодезические изыскания</t>
  </si>
  <si>
    <t>(вид изыскательских работ)</t>
  </si>
  <si>
    <t>Наименование строительства и стадии проектирования:</t>
  </si>
  <si>
    <t>Наименование организации подрядчика:</t>
  </si>
  <si>
    <t>ООО "ИТПИ"</t>
  </si>
  <si>
    <t>Наименование организации заказчика:</t>
  </si>
  <si>
    <t>Смета составлена по следующим документам:</t>
  </si>
  <si>
    <t>СБЦ на ИГДИ для строительства, 2004 г.</t>
  </si>
  <si>
    <t>№
п/п</t>
  </si>
  <si>
    <t>Наименование работ и затрат</t>
  </si>
  <si>
    <t>Катег. сл-ти</t>
  </si>
  <si>
    <t>Единица изме-рения</t>
  </si>
  <si>
    <t>Кол-во
(физ. объём)</t>
  </si>
  <si>
    <t>Обоснование стоимости (цена и коэф-ты)</t>
  </si>
  <si>
    <t>Цена</t>
  </si>
  <si>
    <t>Расчёт стоимости /коэф-ты к цене</t>
  </si>
  <si>
    <t>Стоимость,
руб., коп. без НДС</t>
  </si>
  <si>
    <t>К1</t>
  </si>
  <si>
    <t>К2</t>
  </si>
  <si>
    <t>К3</t>
  </si>
  <si>
    <t>1. Полевые работы</t>
  </si>
  <si>
    <t>га</t>
  </si>
  <si>
    <t>Итого полевых работ:</t>
  </si>
  <si>
    <t>-</t>
  </si>
  <si>
    <t>2. Камеральные работы</t>
  </si>
  <si>
    <t>Стоимость проверки полноты планов в эксплуатирующих организациях</t>
  </si>
  <si>
    <t>служба</t>
  </si>
  <si>
    <t>т. 75, прим. 3</t>
  </si>
  <si>
    <t>Итого камеральных работ:</t>
  </si>
  <si>
    <r>
      <t xml:space="preserve">3. Прочие расходы
</t>
    </r>
    <r>
      <rPr>
        <sz val="10"/>
        <rFont val="Times New Roman"/>
        <family val="1"/>
        <charset val="204"/>
      </rPr>
      <t>(применяются к полевым и выполняемым в экспедиционных условиях камеральным работам)</t>
    </r>
  </si>
  <si>
    <t>Процент</t>
  </si>
  <si>
    <t>Стоимость работ, без НДС</t>
  </si>
  <si>
    <t>Расчёт стоимости /
коэф-ты к цене</t>
  </si>
  <si>
    <t>Стоимость прочих расходов, без НДС</t>
  </si>
  <si>
    <t>%</t>
  </si>
  <si>
    <t>Расходы на организацию и ликвидацию полевых работ</t>
  </si>
  <si>
    <t>п.13 ОУ</t>
  </si>
  <si>
    <t>Итого прочих расходов:</t>
  </si>
  <si>
    <t>Всего по смете в ценах СБЦ на 2001 г.</t>
  </si>
  <si>
    <t>Итого по смете, с учетом индекса  изменения сметной стоимости изыскательских работ</t>
  </si>
  <si>
    <t>Итого по смете, с учетом договорного коэффициента</t>
  </si>
  <si>
    <t>Создание инженерно-топографического плана м-ба 1:500 сечение рельефа 0,5 (съемка подземных коммуникаций)  территория пром.предприятия, IIкат. (с применением компьютерных технологий)</t>
  </si>
  <si>
    <t>т. 9, п. 5,  прим.4, ОУ 15д</t>
  </si>
  <si>
    <t>II кат.</t>
  </si>
  <si>
    <t>Письмо Минстроя России от 14.10.2025 N 61339-ИФ/09 на 4 квартал 2025г.</t>
  </si>
  <si>
    <t>Неблагоприятный период времени</t>
  </si>
  <si>
    <t xml:space="preserve">т. 2, п. 2       </t>
  </si>
  <si>
    <t>IIкат.</t>
  </si>
  <si>
    <t>пункт</t>
  </si>
  <si>
    <t xml:space="preserve">т. 8, п. 3, прим. 2
ОУ п.8 в) </t>
  </si>
  <si>
    <t>т. 8, п. 4, ОУ п.8 в)</t>
  </si>
  <si>
    <t>Создание плановой опорной геодезической сети спутниковым методом; 2 разряд, IIкат. Специальный режим территории</t>
  </si>
  <si>
    <t>Создание высотной опорной геодезической сети; IV класс, IIкат. Специальный режим территории</t>
  </si>
  <si>
    <t xml:space="preserve">Создание плановой опорной геодезической сети; 2 разряд, IIкат. </t>
  </si>
  <si>
    <t xml:space="preserve">т. 8, п. 3, </t>
  </si>
  <si>
    <t xml:space="preserve">Создание высотной опорной геодезической сети; IV класс, IIкат. </t>
  </si>
  <si>
    <t>т. 8, п. 4</t>
  </si>
  <si>
    <t>Создание инженерно-топографического плана м-ба 1:500, высота сечения рельефа 0,5м (II кат., пром.предприятие) со съемкой подземных коммуникаций. Специальный режим территории.</t>
  </si>
  <si>
    <t xml:space="preserve">т. 9, п. 5,  прим 4; п.8 в) ОУ             </t>
  </si>
  <si>
    <t>Создание инженерно-топографического плана м-ба 1:500, высота сечения рельефа 0,5м (III кат., незастроенная) со съемкой подземных коммуникаций.</t>
  </si>
  <si>
    <t>III кат.</t>
  </si>
  <si>
    <t xml:space="preserve">т. 9, п. 6,  прим 4; п.8 в) ОУ             </t>
  </si>
  <si>
    <t>Создание инженерно-топографического плана м-ба 1:500 сечение рельефа 0,5 (съемка подземных коммуникаций)  территория незастроенная, IIIкат. (с применением компьютерных технологий)</t>
  </si>
  <si>
    <t>т. 9, п. 6,  прим.4, ОУ 15д</t>
  </si>
  <si>
    <t>Выдача координат и высот исходных геодезических пунктов</t>
  </si>
  <si>
    <t xml:space="preserve">т. 81, п. 2,3      </t>
  </si>
  <si>
    <t>Расходы по внутреннему транспорту (Расстояние от базы - до 5 км)</t>
  </si>
  <si>
    <t>т. 4, п. 1</t>
  </si>
  <si>
    <t>т. 5 п. 2</t>
  </si>
  <si>
    <t>Расходы по внешнему транспорту (расстояние проезда - 100-300 км). Продолжительность работ - до 3 мес.</t>
  </si>
  <si>
    <t>т. 81 п. 9</t>
  </si>
  <si>
    <t>Регистрация инженерных изысканий (ИСОГД)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</si>
</sst>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 x14ac:knownFonts="1">
    <font>
      <sz val="11"/>
      <color theme="1"/>
      <name val="Calibri"/>
      <family val="2"/>
      <charset val="204"/>
      <scheme val="minor"/>
    </font>
    <font>
      <sz val="10"/>
      <name val="Courier"/>
    </font>
    <font>
      <b/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10"/>
      <name val="Arial Cyr"/>
    </font>
    <font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4"/>
      <color indexed="2"/>
      <name val="Calibri"/>
      <family val="2"/>
      <charset val="204"/>
      <scheme val="minor"/>
    </font>
    <font>
      <i/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0"/>
      <color theme="0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6" fillId="0" borderId="0"/>
  </cellStyleXfs>
  <cellXfs count="87">
    <xf numFmtId="0" fontId="0" fillId="0" borderId="0" xfId="0"/>
    <xf numFmtId="0" fontId="2" fillId="0" borderId="0" xfId="1" applyFont="1" applyAlignment="1" applyProtection="1">
      <alignment horizontal="left"/>
      <protection locked="0"/>
    </xf>
    <xf numFmtId="0" fontId="2" fillId="0" borderId="0" xfId="1" applyFont="1"/>
    <xf numFmtId="0" fontId="3" fillId="0" borderId="0" xfId="1" applyFont="1"/>
    <xf numFmtId="2" fontId="3" fillId="0" borderId="0" xfId="1" applyNumberFormat="1" applyFont="1"/>
    <xf numFmtId="0" fontId="4" fillId="0" borderId="0" xfId="2"/>
    <xf numFmtId="0" fontId="3" fillId="0" borderId="0" xfId="1" applyFont="1" applyProtection="1">
      <protection locked="0"/>
    </xf>
    <xf numFmtId="0" fontId="3" fillId="0" borderId="1" xfId="1" applyFont="1" applyBorder="1" applyProtection="1">
      <protection locked="0"/>
    </xf>
    <xf numFmtId="0" fontId="3" fillId="0" borderId="0" xfId="1" applyFont="1" applyAlignment="1" applyProtection="1">
      <alignment horizontal="center"/>
      <protection locked="0"/>
    </xf>
    <xf numFmtId="0" fontId="5" fillId="0" borderId="0" xfId="3" applyFont="1" applyAlignment="1" applyProtection="1">
      <alignment vertical="top"/>
      <protection hidden="1"/>
    </xf>
    <xf numFmtId="0" fontId="3" fillId="0" borderId="0" xfId="3" applyFont="1" applyAlignment="1">
      <alignment vertical="top"/>
    </xf>
    <xf numFmtId="0" fontId="7" fillId="0" borderId="0" xfId="3" applyFont="1" applyAlignment="1">
      <alignment horizontal="center" vertical="top"/>
    </xf>
    <xf numFmtId="1" fontId="3" fillId="0" borderId="0" xfId="3" applyNumberFormat="1" applyFont="1" applyAlignment="1">
      <alignment vertical="top"/>
    </xf>
    <xf numFmtId="0" fontId="3" fillId="0" borderId="0" xfId="1" applyFont="1" applyAlignment="1">
      <alignment horizontal="left"/>
    </xf>
    <xf numFmtId="0" fontId="9" fillId="0" borderId="0" xfId="2" applyFont="1"/>
    <xf numFmtId="0" fontId="10" fillId="0" borderId="0" xfId="2" applyFont="1"/>
    <xf numFmtId="0" fontId="5" fillId="0" borderId="1" xfId="4" applyFont="1" applyBorder="1" applyAlignment="1">
      <alignment horizontal="right"/>
    </xf>
    <xf numFmtId="0" fontId="3" fillId="0" borderId="1" xfId="4" applyFont="1" applyBorder="1"/>
    <xf numFmtId="2" fontId="3" fillId="0" borderId="1" xfId="4" applyNumberFormat="1" applyFont="1" applyBorder="1"/>
    <xf numFmtId="164" fontId="3" fillId="0" borderId="1" xfId="4" applyNumberFormat="1" applyFont="1" applyBorder="1"/>
    <xf numFmtId="1" fontId="3" fillId="0" borderId="1" xfId="4" applyNumberFormat="1" applyFont="1" applyBorder="1"/>
    <xf numFmtId="164" fontId="5" fillId="0" borderId="5" xfId="4" applyNumberFormat="1" applyFont="1" applyBorder="1" applyAlignment="1">
      <alignment horizontal="center" vertical="center" wrapText="1"/>
    </xf>
    <xf numFmtId="0" fontId="5" fillId="0" borderId="6" xfId="4" applyFont="1" applyBorder="1" applyAlignment="1">
      <alignment horizontal="center" vertical="center"/>
    </xf>
    <xf numFmtId="0" fontId="5" fillId="0" borderId="7" xfId="4" applyFont="1" applyBorder="1" applyAlignment="1">
      <alignment horizontal="center" vertical="center"/>
    </xf>
    <xf numFmtId="0" fontId="11" fillId="0" borderId="0" xfId="2" applyFont="1"/>
    <xf numFmtId="0" fontId="3" fillId="0" borderId="5" xfId="4" applyFont="1" applyBorder="1" applyAlignment="1" applyProtection="1">
      <alignment horizontal="center" vertical="center"/>
      <protection hidden="1"/>
    </xf>
    <xf numFmtId="0" fontId="3" fillId="0" borderId="5" xfId="3" quotePrefix="1" applyFont="1" applyBorder="1" applyAlignment="1">
      <alignment horizontal="left" vertical="center" wrapText="1"/>
    </xf>
    <xf numFmtId="2" fontId="3" fillId="0" borderId="5" xfId="3" applyNumberFormat="1" applyFont="1" applyBorder="1" applyAlignment="1">
      <alignment horizontal="center" vertical="center"/>
    </xf>
    <xf numFmtId="0" fontId="3" fillId="0" borderId="5" xfId="3" applyFont="1" applyBorder="1" applyAlignment="1">
      <alignment horizontal="left" vertical="center" wrapText="1"/>
    </xf>
    <xf numFmtId="2" fontId="3" fillId="0" borderId="5" xfId="5" applyNumberFormat="1" applyFont="1" applyBorder="1" applyAlignment="1">
      <alignment horizontal="center" vertical="center"/>
    </xf>
    <xf numFmtId="0" fontId="5" fillId="0" borderId="5" xfId="3" applyFont="1" applyBorder="1" applyAlignment="1" applyProtection="1">
      <alignment horizontal="center" vertical="center"/>
      <protection hidden="1"/>
    </xf>
    <xf numFmtId="0" fontId="5" fillId="0" borderId="5" xfId="3" applyFont="1" applyBorder="1" applyAlignment="1">
      <alignment horizontal="left" vertical="center"/>
    </xf>
    <xf numFmtId="2" fontId="5" fillId="0" borderId="5" xfId="5" applyNumberFormat="1" applyFont="1" applyBorder="1" applyAlignment="1">
      <alignment horizontal="center" vertical="center"/>
    </xf>
    <xf numFmtId="1" fontId="3" fillId="0" borderId="5" xfId="3" applyNumberFormat="1" applyFont="1" applyBorder="1" applyAlignment="1">
      <alignment horizontal="center" vertical="center"/>
    </xf>
    <xf numFmtId="0" fontId="3" fillId="0" borderId="5" xfId="3" applyFont="1" applyBorder="1" applyAlignment="1" applyProtection="1">
      <alignment horizontal="center" vertical="center"/>
      <protection hidden="1"/>
    </xf>
    <xf numFmtId="0" fontId="2" fillId="0" borderId="5" xfId="3" applyFont="1" applyBorder="1" applyAlignment="1" applyProtection="1">
      <alignment horizontal="center" vertical="center" wrapText="1"/>
      <protection hidden="1"/>
    </xf>
    <xf numFmtId="0" fontId="2" fillId="0" borderId="5" xfId="3" applyFont="1" applyBorder="1" applyAlignment="1" applyProtection="1">
      <alignment horizontal="center" vertical="center"/>
      <protection hidden="1"/>
    </xf>
    <xf numFmtId="0" fontId="3" fillId="0" borderId="5" xfId="3" quotePrefix="1" applyFont="1" applyBorder="1" applyAlignment="1">
      <alignment horizontal="center" vertical="center" wrapText="1"/>
    </xf>
    <xf numFmtId="2" fontId="12" fillId="0" borderId="5" xfId="3" applyNumberFormat="1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 wrapText="1"/>
    </xf>
    <xf numFmtId="0" fontId="5" fillId="0" borderId="5" xfId="3" applyFont="1" applyBorder="1" applyAlignment="1">
      <alignment horizontal="left" vertical="center" wrapText="1"/>
    </xf>
    <xf numFmtId="0" fontId="13" fillId="0" borderId="5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4" fontId="5" fillId="0" borderId="5" xfId="5" applyNumberFormat="1" applyFont="1" applyBorder="1" applyAlignment="1">
      <alignment horizontal="center" vertical="center"/>
    </xf>
    <xf numFmtId="0" fontId="5" fillId="0" borderId="5" xfId="5" applyFont="1" applyBorder="1" applyAlignment="1">
      <alignment horizontal="left" vertical="center" wrapText="1"/>
    </xf>
    <xf numFmtId="1" fontId="3" fillId="0" borderId="5" xfId="5" applyNumberFormat="1" applyFont="1" applyBorder="1" applyAlignment="1">
      <alignment horizontal="center" vertical="center"/>
    </xf>
    <xf numFmtId="0" fontId="3" fillId="0" borderId="5" xfId="5" applyFont="1" applyBorder="1" applyAlignment="1">
      <alignment horizontal="left" vertical="center" wrapText="1"/>
    </xf>
    <xf numFmtId="0" fontId="4" fillId="0" borderId="0" xfId="2" applyAlignment="1">
      <alignment horizontal="left"/>
    </xf>
    <xf numFmtId="0" fontId="4" fillId="2" borderId="0" xfId="2" applyFill="1"/>
    <xf numFmtId="49" fontId="15" fillId="2" borderId="0" xfId="2" applyNumberFormat="1" applyFont="1" applyFill="1" applyAlignment="1">
      <alignment vertical="top" wrapText="1"/>
    </xf>
    <xf numFmtId="49" fontId="15" fillId="2" borderId="0" xfId="2" applyNumberFormat="1" applyFont="1" applyFill="1" applyAlignment="1">
      <alignment wrapText="1"/>
    </xf>
    <xf numFmtId="0" fontId="3" fillId="0" borderId="5" xfId="6" quotePrefix="1" applyFont="1" applyFill="1" applyBorder="1" applyAlignment="1">
      <alignment horizontal="center" vertical="center" wrapText="1"/>
    </xf>
    <xf numFmtId="0" fontId="3" fillId="0" borderId="5" xfId="6" quotePrefix="1" applyFont="1" applyBorder="1" applyAlignment="1">
      <alignment horizontal="left" vertical="center" wrapText="1"/>
    </xf>
    <xf numFmtId="0" fontId="3" fillId="0" borderId="5" xfId="6" quotePrefix="1" applyFont="1" applyBorder="1" applyAlignment="1">
      <alignment horizontal="center" vertical="center" wrapText="1"/>
    </xf>
    <xf numFmtId="2" fontId="3" fillId="0" borderId="5" xfId="6" applyNumberFormat="1" applyFont="1" applyBorder="1" applyAlignment="1">
      <alignment horizontal="center" vertical="center"/>
    </xf>
    <xf numFmtId="1" fontId="3" fillId="0" borderId="5" xfId="6" applyNumberFormat="1" applyFont="1" applyBorder="1" applyAlignment="1">
      <alignment horizontal="center" vertical="center"/>
    </xf>
    <xf numFmtId="0" fontId="3" fillId="0" borderId="5" xfId="6" applyFont="1" applyBorder="1" applyAlignment="1">
      <alignment horizontal="left" vertical="center" wrapText="1"/>
    </xf>
    <xf numFmtId="2" fontId="3" fillId="0" borderId="5" xfId="7" applyNumberFormat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2" fillId="0" borderId="1" xfId="1" applyFont="1" applyBorder="1" applyAlignment="1">
      <alignment horizontal="left"/>
    </xf>
    <xf numFmtId="0" fontId="5" fillId="0" borderId="0" xfId="1" applyFont="1" applyAlignment="1">
      <alignment horizontal="center" vertical="center"/>
    </xf>
    <xf numFmtId="0" fontId="7" fillId="0" borderId="2" xfId="3" applyFont="1" applyBorder="1" applyAlignment="1">
      <alignment horizontal="center" vertical="top"/>
    </xf>
    <xf numFmtId="0" fontId="7" fillId="0" borderId="0" xfId="3" applyFont="1" applyAlignment="1">
      <alignment horizontal="center" vertical="top"/>
    </xf>
    <xf numFmtId="0" fontId="3" fillId="0" borderId="0" xfId="1" applyFont="1" applyAlignment="1">
      <alignment horizontal="center" wrapText="1"/>
    </xf>
    <xf numFmtId="0" fontId="8" fillId="0" borderId="1" xfId="1" applyFont="1" applyBorder="1" applyAlignment="1" applyProtection="1">
      <alignment horizontal="left" wrapText="1"/>
      <protection locked="0"/>
    </xf>
    <xf numFmtId="1" fontId="5" fillId="0" borderId="3" xfId="4" applyNumberFormat="1" applyFont="1" applyBorder="1" applyAlignment="1">
      <alignment horizontal="center" vertical="center" wrapText="1"/>
    </xf>
    <xf numFmtId="1" fontId="5" fillId="0" borderId="5" xfId="4" applyNumberFormat="1" applyFont="1" applyBorder="1" applyAlignment="1">
      <alignment horizontal="center" vertical="center" wrapText="1"/>
    </xf>
    <xf numFmtId="0" fontId="2" fillId="0" borderId="8" xfId="3" applyFont="1" applyBorder="1" applyAlignment="1" applyProtection="1">
      <alignment horizontal="center" vertical="center"/>
      <protection hidden="1"/>
    </xf>
    <xf numFmtId="0" fontId="2" fillId="0" borderId="9" xfId="3" applyFont="1" applyBorder="1" applyAlignment="1" applyProtection="1">
      <alignment horizontal="center" vertical="center"/>
      <protection hidden="1"/>
    </xf>
    <xf numFmtId="0" fontId="2" fillId="0" borderId="10" xfId="3" applyFont="1" applyBorder="1" applyAlignment="1" applyProtection="1">
      <alignment horizontal="center" vertical="center"/>
      <protection hidden="1"/>
    </xf>
    <xf numFmtId="0" fontId="2" fillId="0" borderId="5" xfId="3" applyFont="1" applyBorder="1" applyAlignment="1" applyProtection="1">
      <alignment horizontal="center" vertical="center"/>
      <protection hidden="1"/>
    </xf>
    <xf numFmtId="0" fontId="2" fillId="0" borderId="5" xfId="3" applyFont="1" applyBorder="1" applyAlignment="1" applyProtection="1">
      <alignment horizontal="center" vertical="center" wrapText="1"/>
      <protection hidden="1"/>
    </xf>
    <xf numFmtId="0" fontId="3" fillId="0" borderId="0" xfId="1" applyFont="1" applyAlignment="1">
      <alignment horizontal="left" wrapText="1"/>
    </xf>
    <xf numFmtId="0" fontId="3" fillId="0" borderId="0" xfId="1" applyFont="1" applyAlignment="1">
      <alignment horizontal="left"/>
    </xf>
    <xf numFmtId="0" fontId="5" fillId="0" borderId="3" xfId="4" applyFont="1" applyBorder="1" applyAlignment="1">
      <alignment horizontal="center" vertical="center" wrapText="1"/>
    </xf>
    <xf numFmtId="0" fontId="5" fillId="0" borderId="5" xfId="4" applyFont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2" fontId="5" fillId="0" borderId="3" xfId="4" applyNumberFormat="1" applyFont="1" applyBorder="1" applyAlignment="1">
      <alignment horizontal="center" vertical="center" wrapText="1"/>
    </xf>
    <xf numFmtId="2" fontId="5" fillId="0" borderId="5" xfId="4" applyNumberFormat="1" applyFont="1" applyBorder="1" applyAlignment="1">
      <alignment horizontal="center" vertical="center" wrapText="1"/>
    </xf>
    <xf numFmtId="0" fontId="2" fillId="0" borderId="11" xfId="3" applyFont="1" applyBorder="1" applyAlignment="1" applyProtection="1">
      <alignment horizontal="center" vertical="center"/>
      <protection hidden="1"/>
    </xf>
    <xf numFmtId="0" fontId="2" fillId="0" borderId="12" xfId="3" applyFont="1" applyBorder="1" applyAlignment="1" applyProtection="1">
      <alignment horizontal="center" vertical="center"/>
      <protection hidden="1"/>
    </xf>
    <xf numFmtId="0" fontId="2" fillId="0" borderId="11" xfId="3" applyFont="1" applyBorder="1" applyAlignment="1" applyProtection="1">
      <alignment horizontal="center" vertical="center" wrapText="1"/>
      <protection hidden="1"/>
    </xf>
    <xf numFmtId="0" fontId="2" fillId="0" borderId="13" xfId="3" applyFont="1" applyBorder="1" applyAlignment="1" applyProtection="1">
      <alignment horizontal="center" vertical="center" wrapText="1"/>
      <protection hidden="1"/>
    </xf>
    <xf numFmtId="0" fontId="2" fillId="0" borderId="12" xfId="3" applyFont="1" applyBorder="1" applyAlignment="1" applyProtection="1">
      <alignment horizontal="center" vertical="center" wrapText="1"/>
      <protection hidden="1"/>
    </xf>
    <xf numFmtId="49" fontId="15" fillId="2" borderId="0" xfId="2" applyNumberFormat="1" applyFont="1" applyFill="1" applyAlignment="1">
      <alignment horizontal="center" vertical="center" wrapText="1"/>
    </xf>
    <xf numFmtId="164" fontId="5" fillId="0" borderId="3" xfId="4" applyNumberFormat="1" applyFont="1" applyBorder="1" applyAlignment="1">
      <alignment horizontal="center" vertical="center" wrapText="1"/>
    </xf>
    <xf numFmtId="164" fontId="5" fillId="0" borderId="5" xfId="4" applyNumberFormat="1" applyFont="1" applyBorder="1" applyAlignment="1">
      <alignment horizontal="center" vertical="center" wrapText="1"/>
    </xf>
  </cellXfs>
  <cellStyles count="8">
    <cellStyle name="Обычный" xfId="0" builtinId="0"/>
    <cellStyle name="Обычный 10 3" xfId="4"/>
    <cellStyle name="Обычный 2 4" xfId="2"/>
    <cellStyle name="Обычный_6200_PRT 3" xfId="1"/>
    <cellStyle name="Обычный_6200РД" xfId="6"/>
    <cellStyle name="Обычный_6200РД 2" xfId="7"/>
    <cellStyle name="Обычный_6200РД 2 2" xfId="5"/>
    <cellStyle name="Обычный_6200РД 3" xfId="3"/>
  </cellStyles>
  <dxfs count="5">
    <dxf>
      <font>
        <color indexed="65"/>
      </font>
    </dxf>
    <dxf>
      <font>
        <color indexed="65"/>
      </font>
    </dxf>
    <dxf>
      <font>
        <color indexed="65"/>
      </font>
    </dxf>
    <dxf>
      <font>
        <color indexed="65"/>
      </font>
    </dxf>
    <dxf>
      <font>
        <color indexed="6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Zarplata_1\&#1044;&#1077;&#1085;&#1080;&#1089;\&#1089;&#1086;&#1093;&#1088;&#1072;&#1085;&#1080;&#1090;&#110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rvices.nipigas.ru/sibur.local/NIPI/WORK/&#1086;&#1073;&#1098;&#1077;&#1084;&#1099;%20&#1088;&#1072;&#1073;&#1086;&#1090;/&#1056;&#1072;&#1079;&#1085;&#1086;&#1077;/Zarplata_1/&#1044;&#1077;&#1085;&#1080;&#1089;/&#1089;&#1086;&#1093;&#1088;&#1072;&#1085;&#1080;&#1090;&#110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0;&#1089;&#1090;&#1086;&#1074;&#1086;/2024-08-07%20-%20&#1089;&#1084;&#1077;&#1090;&#1099;%20&#1080;&#1079;&#1084;%20&#1086;&#1073;&#1098;&#1077;&#1084;/&#1048;&#1043;&#1060;&#1048;/&#1057;&#1084;&#1077;&#1090;&#1072;%20&#1048;&#1043;&#1060;_&#1050;&#1089;&#1090;&#1086;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.sherbina/Downloads/Telegram%20Desktop/&#1057;&#1084;&#1077;&#1090;&#1072;%20&#1048;&#1043;&#1060;%20&#1087;&#1088;&#1077;&#1076;&#1074;&#1072;&#1088;&#1080;&#1090;&#1077;&#1083;&#1100;&#1085;&#1072;&#1103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s\Zarplata_1\&#1044;&#1077;&#1085;&#1080;&#1089;\&#1089;&#1086;&#1093;&#1088;&#1072;&#1085;&#1080;&#1090;&#110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rvices.nipigas.ru/Lucenko/&#1084;&#1086;&#1080;%20&#1076;&#1086;&#1082;&#1091;&#1084;&#1077;&#1085;&#1090;/TEMP/ps1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ORK\&#1086;&#1073;&#1098;&#1077;&#1084;&#1099;%20&#1088;&#1072;&#1073;&#1086;&#1090;\&#1056;&#1072;&#1079;&#1085;&#1086;&#1077;\Zarplata_1\&#1044;&#1077;&#1085;&#1080;&#1089;\&#1089;&#1086;&#1093;&#1088;&#1072;&#1085;&#1080;&#1090;&#110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rvices.nipigas.ru/&#1055;&#1088;&#1086;&#1077;&#1082;&#1090;&#1099;/&#1055;&#1086;&#1076;&#1088;&#1103;&#1076;/&#1056;&#1043;&#1048;%20&#1069;&#1055;-600/2-&#1057;&#1084;&#1077;&#1090;&#1072;%20&#1048;&#1043;&#10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ТИТУЛ"/>
      <sheetName val="6.14"/>
      <sheetName val="ОБЩЕСТВА"/>
      <sheetName val="6.3.1"/>
      <sheetName val="6.20"/>
      <sheetName val="6.4.1"/>
      <sheetName val="ПРОГНОЗ_1"/>
      <sheetName val="Смета"/>
      <sheetName val="Лист1"/>
      <sheetName val="6_11_1  сторонние"/>
      <sheetName val="установки"/>
      <sheetName val="8.14 КР (списание)ОПСТИКР"/>
      <sheetName val="Стр1"/>
      <sheetName val="Список"/>
      <sheetName val="топо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Данные для расчёта сметы"/>
      <sheetName val="Списки"/>
      <sheetName val="ПДР"/>
      <sheetName val="DATA"/>
      <sheetName val="см8"/>
      <sheetName val="вариант"/>
      <sheetName val="6.14_КР"/>
      <sheetName val="Обновление"/>
      <sheetName val="Цена"/>
      <sheetName val="Product"/>
      <sheetName val="Summary"/>
      <sheetName val="свод 2"/>
      <sheetName val="Прилож"/>
      <sheetName val="все"/>
      <sheetName val="Табл38-7"/>
      <sheetName val="Зап-3- СЦБ"/>
      <sheetName val="Кредиты"/>
      <sheetName val="информация"/>
      <sheetName val="13.1"/>
      <sheetName val="Пример расчета"/>
      <sheetName val="СметаСводная Рыб"/>
      <sheetName val="Нормы"/>
      <sheetName val="Текущие цены"/>
      <sheetName val="рабочий"/>
      <sheetName val="окраска"/>
      <sheetName val="отчет эл_эн  2000"/>
      <sheetName val="к.84-к.83"/>
      <sheetName val="Счет-Фактура"/>
      <sheetName val="Коэфф1."/>
      <sheetName val="График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Данные_для_расчёта_сметы"/>
      <sheetName val="6_14_КР"/>
      <sheetName val="свод_2"/>
      <sheetName val="Зап-3-_СЦБ"/>
      <sheetName val="13_1"/>
      <sheetName val="Пример_расчета"/>
      <sheetName val="СметаСводная_Рыб"/>
      <sheetName val="ПОДПИСИ"/>
      <sheetName val="РАСЧЕТ"/>
      <sheetName val="КП (2)"/>
      <sheetName val="Бюджет"/>
      <sheetName val="Norm"/>
      <sheetName val="sapactivexlhiddensheet"/>
      <sheetName val="Текущие_цены"/>
      <sheetName val="отчет_эл_эн__2000"/>
      <sheetName val="к_84-к_83"/>
      <sheetName val="6.3"/>
      <sheetName val="6.7"/>
      <sheetName val="6.3.1.3"/>
      <sheetName val="Лист2"/>
      <sheetName val="свод 3"/>
      <sheetName val="ID"/>
      <sheetName val="СС"/>
      <sheetName val="ЭХЗ"/>
      <sheetName val="РасчетКомандир1"/>
      <sheetName val="РасчетКомандир2"/>
      <sheetName val="Коэфф"/>
      <sheetName val="Смета2 проект. раб."/>
      <sheetName val="Суточная"/>
      <sheetName val="Смета 1"/>
      <sheetName val="РП"/>
      <sheetName val="данные"/>
      <sheetName val="Баланс"/>
      <sheetName val="Смета2_проект__раб_"/>
      <sheetName val="Смета_1"/>
      <sheetName val="СМЕТА проект"/>
      <sheetName val="Production and Spend"/>
      <sheetName val="OCK1"/>
      <sheetName val="Шкаф"/>
      <sheetName val="Прайс лист"/>
      <sheetName val="1.3"/>
      <sheetName val="ИГ1"/>
      <sheetName val="К.рын"/>
      <sheetName val="Сводная смета"/>
      <sheetName val="Землеотвод"/>
      <sheetName val="шаблон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ная"/>
      <sheetName val="Разработка проекта"/>
      <sheetName val="КП НовоКов"/>
      <sheetName val="СметаСводная 1 оч"/>
      <sheetName val="Коэфф1_"/>
      <sheetName val="Прайс_лист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метаСводная павильон"/>
      <sheetName val="93-110"/>
      <sheetName val="Св. смета"/>
      <sheetName val="РБС ИЗМ1"/>
      <sheetName val="СметаСводная снег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сохранить"/>
      <sheetName val="5ОборРабМест(HP)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2002(v2)"/>
      <sheetName val="справ."/>
      <sheetName val="справ_"/>
      <sheetName val="2002_v2_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6.11 новый"/>
      <sheetName val="Opex personnel (Term facs)"/>
      <sheetName val="Капитальные затраты"/>
      <sheetName val="накладная"/>
      <sheetName val="Акт"/>
      <sheetName val="1"/>
      <sheetName val="Пояснение "/>
      <sheetName val="3.1"/>
      <sheetName val="Коммерческие расходы"/>
      <sheetName val="RSOILBAL"/>
      <sheetName val="смета 2 проект. работы"/>
      <sheetName val="4сд"/>
      <sheetName val="2сд"/>
      <sheetName val="7сд"/>
      <sheetName val="MAIN_PARAMETERS"/>
      <sheetName val="СС замеч с ответами"/>
      <sheetName val="начало"/>
      <sheetName val="Main"/>
      <sheetName val="УП _2004"/>
      <sheetName val="в работу"/>
      <sheetName val="1ПС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Перечень Заказчиков"/>
      <sheetName val="2.2 "/>
      <sheetName val="Хар_"/>
      <sheetName val="С1_"/>
      <sheetName val="СтрЗапасов (2)"/>
      <sheetName val="Lim"/>
      <sheetName val="Справочник"/>
      <sheetName val="PwC Copies from old models --&gt;&gt;"/>
      <sheetName val="Справочники"/>
      <sheetName val="Journals"/>
      <sheetName val="ц_1991"/>
      <sheetName val="rvldmrv"/>
      <sheetName val="Сравнение ДПН факт 06-07"/>
      <sheetName val="Параметры"/>
      <sheetName val="трансформация1"/>
      <sheetName val="НМ расчеты"/>
      <sheetName val="Names"/>
      <sheetName val="breakdown"/>
      <sheetName val="Destination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EKDEB90"/>
      <sheetName val="Коэф КВ"/>
      <sheetName val="К"/>
      <sheetName val="Смета терзем"/>
      <sheetName val="Кал.план Жукова даты - не надо"/>
      <sheetName val="кп"/>
      <sheetName val="матер."/>
      <sheetName val="КП Прим (3)"/>
      <sheetName val="Лист3"/>
      <sheetName val="АЧ"/>
      <sheetName val="кп (3)"/>
      <sheetName val="СП"/>
      <sheetName val="фонтан разбитый2"/>
      <sheetName val="Баланс (Ф1)"/>
      <sheetName val="Смета-Т"/>
      <sheetName val=""/>
      <sheetName val="Смета 3 Гидролог"/>
      <sheetName val="Записка СЦБ"/>
      <sheetName val="ИПЦ2002-2004"/>
      <sheetName val="РС 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Общая часть"/>
      <sheetName val="Табл.5"/>
      <sheetName val="Табл.2"/>
      <sheetName val="Исх.данные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Расчет курса"/>
      <sheetName val="XLR_NoRangeSheet"/>
      <sheetName val="НЕДЕЛИ"/>
      <sheetName val="GD"/>
      <sheetName val="Source lists"/>
      <sheetName val="Восстановл_Лист37"/>
      <sheetName val="геолог"/>
      <sheetName val="Курс доллара"/>
      <sheetName val="Календарь новый"/>
      <sheetName val="Смета № 1 ИИ линия"/>
      <sheetName val="Дополнительные параметры"/>
      <sheetName val="ЛЧ"/>
      <sheetName val="Leistungsakt"/>
      <sheetName val="Свод объем"/>
      <sheetName val="Дог цена"/>
      <sheetName val="SakhNIPI5"/>
      <sheetName val="ПИР"/>
      <sheetName val="выборка на22 июня"/>
      <sheetName val="HP_и_оргтехника"/>
      <sheetName val="СМЕТА_проект"/>
      <sheetName val="Лист_опроса"/>
      <sheetName val="ОПС"/>
      <sheetName val="СметаСводная_снег"/>
      <sheetName val="Хаттон_90_90_Femco"/>
      <sheetName val="1155"/>
      <sheetName val="свод_общ"/>
      <sheetName val="таблица_руководству"/>
      <sheetName val="Суточная_добыча_за_неделю"/>
      <sheetName val="СметаСводная_павильон"/>
      <sheetName val="3труба (П)"/>
      <sheetName val="15"/>
      <sheetName val="Объемы работ по ПВ"/>
      <sheetName val="16"/>
      <sheetName val="Таблица 5"/>
      <sheetName val="Таблица 3"/>
      <sheetName val="1.401.2"/>
      <sheetName val="PO Data"/>
      <sheetName val="Rub"/>
      <sheetName val="ПД"/>
      <sheetName val="РСС_АУ"/>
      <sheetName val="Раб.АУ"/>
      <sheetName val="Коэф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свод_3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свод_ИИР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Сметы за сопровождение"/>
      <sheetName val="Lucent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BACT"/>
      <sheetName val="АСУ-линия-1"/>
      <sheetName val="ТЗ АСУ-1"/>
      <sheetName val="2-stage"/>
      <sheetName val="лч и кам"/>
      <sheetName val="Бл.электр."/>
      <sheetName val="2 Геология"/>
      <sheetName val="Объем работ"/>
      <sheetName val="MararashAA"/>
      <sheetName val="ПРОЦЕНТЫ"/>
      <sheetName val="Виды работ АСО"/>
      <sheetName val="таблица_руко_x0019__x0015__x0009__x0003__x000c__x0011__x0011_"/>
      <sheetName val="Норм"/>
      <sheetName val="ИД СМР"/>
      <sheetName val="ФОТ для смет"/>
      <sheetName val="ЛС_РЕС"/>
      <sheetName val="Общ"/>
      <sheetName val="_x0000__x0000_"/>
      <sheetName val="таблица_руко_x0019__x0015_ _x0003__x000c__x0011__x0011_"/>
      <sheetName val="КБК ДПК"/>
      <sheetName val="ПС_x0000__x0000__x0000__x0000__x0000__x0000_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Main list"/>
      <sheetName val="ПД-2.2"/>
      <sheetName val="6"/>
      <sheetName val="1.14"/>
      <sheetName val="1.7"/>
      <sheetName val="#ССЫЛКА"/>
      <sheetName val="Вспом."/>
      <sheetName val="УКП"/>
      <sheetName val="БД"/>
      <sheetName val="Лист4"/>
      <sheetName val="Общий"/>
      <sheetName val="ТабР"/>
      <sheetName val="ЕТС (ф)"/>
      <sheetName val="база"/>
      <sheetName val="3_гидромет"/>
      <sheetName val="СМ"/>
      <sheetName val="СМИС"/>
      <sheetName val="эл_химз_3"/>
      <sheetName val="13_11"/>
      <sheetName val="КП_(2)1"/>
      <sheetName val="свод_31"/>
      <sheetName val="СМЕТА_проект1"/>
      <sheetName val="1_31"/>
      <sheetName val="К_рын1"/>
      <sheetName val="Сводная_смета1"/>
      <sheetName val="Переменные_и_константы1"/>
      <sheetName val="СметаСводная_павильон1"/>
      <sheetName val="СметаСводная_снег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Opex_personnel_(Term_facs)1"/>
      <sheetName val="Капитальные_затраты1"/>
      <sheetName val="Пояснение_"/>
      <sheetName val="3_11"/>
      <sheetName val="Коммерческие_расходы1"/>
      <sheetName val="смета_2_проект__работы"/>
      <sheetName val="СС_замеч_с_ответами1"/>
      <sheetName val="УП__20041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РС_"/>
      <sheetName val="Баланс_(Ф1)"/>
      <sheetName val="Смета_3_Гидролог"/>
      <sheetName val="Записка_СЦБ"/>
      <sheetName val="Раб_АУ"/>
      <sheetName val="Source_lists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ПС"/>
      <sheetName val="ДДС_(Форма_№3)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выборка_на22_июня"/>
      <sheetName val="3труба_(П)"/>
      <sheetName val="Объемы_работ_по_ПВ"/>
      <sheetName val="Таблица_5"/>
      <sheetName val="Таблица_3"/>
      <sheetName val="1_401_2"/>
      <sheetName val="PO_Data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геология_3"/>
      <sheetName val="6_143"/>
      <sheetName val="6_3_13"/>
      <sheetName val="6_203"/>
      <sheetName val="6_4_13"/>
      <sheetName val="6_11_1__сторонние3"/>
      <sheetName val="8_14_КР_(списание)ОПСТИКР3"/>
      <sheetName val="Данные_для_расчёта_сметы2"/>
      <sheetName val="6_14_КР2"/>
      <sheetName val="Пример_расчета2"/>
      <sheetName val="свод_22"/>
      <sheetName val="Зап-3-_СЦБ2"/>
      <sheetName val="СметаСводная_Рыб2"/>
      <sheetName val="Текущие_цены2"/>
      <sheetName val="отчет_эл_эн__20002"/>
      <sheetName val="к_84-к_832"/>
      <sheetName val="Коэфф1_2"/>
      <sheetName val="6_31"/>
      <sheetName val="6_71"/>
      <sheetName val="6_3_1_31"/>
      <sheetName val="Смета2_проект__раб_2"/>
      <sheetName val="Смета_12"/>
      <sheetName val="Production_and_Spend1"/>
      <sheetName val="Прайс_лист2"/>
      <sheetName val="См_1_наруж_водопровод2"/>
      <sheetName val="Разработка_проекта2"/>
      <sheetName val="КП_НовоКов2"/>
      <sheetName val="СметаСводная_1_оч2"/>
      <sheetName val="свод_(2)1"/>
      <sheetName val="Калплан_ОИ2_Макм_крестики1"/>
      <sheetName val="Св__смета1"/>
      <sheetName val="РБС_ИЗМ11"/>
      <sheetName val="Таблица_21"/>
      <sheetName val="ст_ГТМ1"/>
      <sheetName val="кп_ГК1"/>
      <sheetName val="Справочные_данные1"/>
      <sheetName val="суб_подряд2"/>
      <sheetName val="ПСБ_-_ОЭ2"/>
      <sheetName val="смета_СИД1"/>
      <sheetName val="ресурсная_вед_1"/>
      <sheetName val="КП_к_ГК1"/>
      <sheetName val="изыскания_21"/>
      <sheetName val="Калплан_Кра1"/>
      <sheetName val="6_11_новый1"/>
      <sheetName val="См_3_АСУ"/>
      <sheetName val="Полигон_-_ИЭИ_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8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Исх."/>
      <sheetName val="исх-данные"/>
      <sheetName val="ИД ПНР"/>
      <sheetName val="кап.ремонт"/>
      <sheetName val="Обор"/>
      <sheetName val="пофакторный"/>
      <sheetName val="РАСШИФ_ЦЕХ_РАСХ"/>
      <sheetName val="топ"/>
      <sheetName val="Дог_рас"/>
      <sheetName val="Ограничения шаблон"/>
      <sheetName val="Лист"/>
      <sheetName val="Исх"/>
      <sheetName val="Причины отклонений"/>
      <sheetName val="Статус работы"/>
      <sheetName val="Уровень графика"/>
      <sheetName val="Технический лист"/>
      <sheetName val="анализ 2003_2004исполнение МТО"/>
      <sheetName val="Приложение 2"/>
      <sheetName val="Исх1"/>
      <sheetName val="Тестовый"/>
      <sheetName val="Panduit"/>
      <sheetName val=" Свод"/>
      <sheetName val="Пра"/>
      <sheetName val="исключ ЭХЗ"/>
      <sheetName val="БДР"/>
      <sheetName val="геол"/>
      <sheetName val="аванс по ОС"/>
      <sheetName val="Авансы выданные"/>
      <sheetName val="Кред"/>
      <sheetName val="ДЗ"/>
      <sheetName val="Кред. задолж."/>
      <sheetName val="Прочие"/>
      <sheetName val="Сводный"/>
      <sheetName val="ГАЗ_камаз"/>
      <sheetName val="41"/>
      <sheetName val="Договорная цена"/>
      <sheetName val="Имя"/>
      <sheetName val="№2Гидромет."/>
      <sheetName val="№2Геолог"/>
      <sheetName val="№2Геолог с.п."/>
      <sheetName val="№3Экологи (2этап)"/>
      <sheetName val="Исходная"/>
      <sheetName val="Должности"/>
      <sheetName val="3 Сл.-структура затрат"/>
      <sheetName val="const"/>
      <sheetName val="расчеты"/>
      <sheetName val="ПС 110 кВ (доп)"/>
      <sheetName val="ПД-2.1"/>
      <sheetName val="Смета 7"/>
      <sheetName val="Бл_электр_"/>
      <sheetName val="Прил.5 СС"/>
      <sheetName val="расчет вязкости"/>
      <sheetName val="Сравнение с Finder - ДНС-5"/>
      <sheetName val="Пра_x0000_с_лист"/>
      <sheetName val="Исх. данные"/>
      <sheetName val="эл_химз_4"/>
      <sheetName val="13_12"/>
      <sheetName val="КП_(2)2"/>
      <sheetName val="свод_32"/>
      <sheetName val="СМЕТА_проект2"/>
      <sheetName val="1_32"/>
      <sheetName val="К_рын2"/>
      <sheetName val="Сводная_смета2"/>
      <sheetName val="Переменные_и_константы2"/>
      <sheetName val="СметаСводная_павильон2"/>
      <sheetName val="СметаСводная_снег2"/>
      <sheetName val="Лист_опроса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Смета_1свод2"/>
      <sheetName val="таблица_руководству2"/>
      <sheetName val="Суточная_добыча_за_неделю2"/>
      <sheetName val="Прибыль_опл2"/>
      <sheetName val="№5_СУБ_Инж_защ2"/>
      <sheetName val="HP_и_оргтехника2"/>
      <sheetName val="Таблица_4_АСУТП2"/>
      <sheetName val="ПДР_ООО_&quot;Юкос_ФБЦ&quot;2"/>
      <sheetName val="исходные_данные2"/>
      <sheetName val="расчетные_таблицы2"/>
      <sheetName val="Амур_ДОН2"/>
      <sheetName val="Б_Сатка2"/>
      <sheetName val="справ_3"/>
      <sheetName val="Перечень_ИУ2"/>
      <sheetName val="3_1_ТХ2"/>
      <sheetName val="СметаСводная_Колпино2"/>
      <sheetName val="3_52"/>
      <sheetName val="Смета_22"/>
      <sheetName val="Ачинский_НПЗ2"/>
      <sheetName val="См3_СЦБ-зап2"/>
      <sheetName val="Хаттон_90_90_Femco2"/>
      <sheetName val="свод_общ2"/>
      <sheetName val="Смета_5_2__Кусты25,29,31,652"/>
      <sheetName val="р_Волхов2"/>
      <sheetName val="Opex_personnel_(Term_facs)2"/>
      <sheetName val="Капитальные_затраты2"/>
      <sheetName val="Пояснение_1"/>
      <sheetName val="3_12"/>
      <sheetName val="Коммерческие_расходы2"/>
      <sheetName val="смета_2_проект__работы1"/>
      <sheetName val="СС_замеч_с_ответами2"/>
      <sheetName val="УП__20042"/>
      <sheetName val="в_работу2"/>
      <sheetName val="3_22"/>
      <sheetName val="3_32"/>
      <sheetName val="Р2_12"/>
      <sheetName val="Р2_22"/>
      <sheetName val="Удельные(проф_)2"/>
      <sheetName val="Константы_и_результаты2"/>
      <sheetName val="расчет_№32"/>
      <sheetName val="20_Кредиты_краткосрочные2"/>
      <sheetName val="Перечень_Заказчиков2"/>
      <sheetName val="2_2_2"/>
      <sheetName val="СтрЗапасов_(2)1"/>
      <sheetName val="PwC_Copies_from_old_models_--&gt;1"/>
      <sheetName val="Сравнение_ДПН_факт_06-071"/>
      <sheetName val="НМ_расчеты1"/>
      <sheetName val="КП_к_снег_Рыбинская2"/>
      <sheetName val="Коэф_КВ1"/>
      <sheetName val="Смета_терзем1"/>
      <sheetName val="Кал_план_Жукова_даты_-_не_надо1"/>
      <sheetName val="матер_1"/>
      <sheetName val="КП_Прим_(3)1"/>
      <sheetName val="кп_(3)1"/>
      <sheetName val="фонтан_разбитый21"/>
      <sheetName val="Баланс_(Ф1)1"/>
      <sheetName val="Смета_3_Гидролог1"/>
      <sheetName val="Записка_СЦБ1"/>
      <sheetName val="РС_1"/>
      <sheetName val="Раб_АУ1"/>
      <sheetName val="Source_lists1"/>
      <sheetName val="Общая_часть1"/>
      <sheetName val="Табл_52"/>
      <sheetName val="Табл_22"/>
      <sheetName val="См_№3_ОПР1"/>
      <sheetName val="см_№6_АВЗУ_и_ГПЗУ1"/>
      <sheetName val="Input_Assumptions1"/>
      <sheetName val="см_№1_1_Геодезические_работы_1"/>
      <sheetName val="см_№1_4_Экология_1"/>
      <sheetName val="АСУ_ТП_1_этап_ПД1"/>
      <sheetName val="Расчет_курса1"/>
      <sheetName val="ДДС_(Форма_№3)1"/>
      <sheetName val="Курс_доллара1"/>
      <sheetName val="Календарь_новый1"/>
      <sheetName val="Смета_№_1_ИИ_линия1"/>
      <sheetName val="Дополнительные_параметры1"/>
      <sheetName val="Свод_объем1"/>
      <sheetName val="Дог_цена1"/>
      <sheetName val="выборка_на22_июня1"/>
      <sheetName val="3труба_(П)1"/>
      <sheetName val="Объемы_работ_по_ПВ1"/>
      <sheetName val="Таблица_51"/>
      <sheetName val="Таблица_31"/>
      <sheetName val="1_401_21"/>
      <sheetName val="PO_Data1"/>
      <sheetName val="р_Нева2"/>
      <sheetName val="р_Молога2"/>
      <sheetName val="18_рек_Ю-Х2"/>
      <sheetName val="нпс_Палкино2"/>
      <sheetName val="Россия_-_Китай2"/>
      <sheetName val="КМ_210-2382"/>
      <sheetName val="БТС-2_км_405-4592"/>
      <sheetName val="БТС-2_км_405-4532"/>
      <sheetName val="БТС-2_км_313-3522"/>
      <sheetName val="БТС-2_км326-3522"/>
      <sheetName val="Улейма_И2"/>
      <sheetName val="Белая_УБКА2"/>
      <sheetName val="км_72-75р_Левоннька2"/>
      <sheetName val="киенгоп-н_Челны_км_104-2062"/>
      <sheetName val="ВЛ_Урдома2"/>
      <sheetName val="Вл_Микунь_Урдома2"/>
      <sheetName val="ВЛ_Синдор-Микунь2"/>
      <sheetName val="Тон_Чермасан2"/>
      <sheetName val="Трасса_км_16-1472"/>
      <sheetName val="трасса_0-762"/>
      <sheetName val="Колва_782"/>
      <sheetName val="Гидрология__р_Колва_км_382"/>
      <sheetName val="ПСП_2"/>
      <sheetName val="Новая_сводка_(до_бюджета)_(2)3"/>
      <sheetName val="Что_пришло3"/>
      <sheetName val="влад-таблица_(2)3"/>
      <sheetName val="Новая_сводка_(до_бюджета)3"/>
      <sheetName val="Новая_сводка3"/>
      <sheetName val="Общие_расходы3"/>
      <sheetName val="Новая_сводка_(по_бюджету)3"/>
      <sheetName val="Íîâàÿ_ñâîäêà_(äî_áþäæåòà)_(2)3"/>
      <sheetName val="×òî_ïðèøëî3"/>
      <sheetName val="âëàä-òàáëèöà_(2)3"/>
      <sheetName val="Íîâàÿ_ñâîäêà_(äî_áþäæåòà)3"/>
      <sheetName val="Íîâàÿ_ñâîäêà3"/>
      <sheetName val="Îáùèå_ðàñõîäû3"/>
      <sheetName val="Íîâàÿ_ñâîäêà_(ïî_áþäæåòó)3"/>
      <sheetName val="6_10_13"/>
      <sheetName val="6_7_3_ТН3"/>
      <sheetName val="6_13"/>
      <sheetName val="6_52-свод2"/>
      <sheetName val="Сводная_1"/>
      <sheetName val="7_ТХ_Сети_(кор)1"/>
      <sheetName val="Tier_3112081"/>
      <sheetName val="Акт_выбора1"/>
      <sheetName val="См_№7_Эл_1"/>
      <sheetName val="См_№8_Пож_1"/>
      <sheetName val="См_№3_ВиК1"/>
      <sheetName val="Сметы_за_сопровождение1"/>
      <sheetName val="ЕТС_(ф)"/>
      <sheetName val="Промер глуб"/>
      <sheetName val="SENSITIVITY"/>
      <sheetName val="Расчет №1.1"/>
      <sheetName val="Расчет №2.1"/>
      <sheetName val="геология_4"/>
      <sheetName val="6_144"/>
      <sheetName val="6_3_14"/>
      <sheetName val="6_204"/>
      <sheetName val="6_4_14"/>
      <sheetName val="6_11_1__сторонние4"/>
      <sheetName val="8_14_КР_(списание)ОПСТИКР4"/>
      <sheetName val="Данные_для_расчёта_сметы3"/>
      <sheetName val="6_14_КР3"/>
      <sheetName val="Текущие_цены3"/>
      <sheetName val="отчет_эл_эн__20003"/>
      <sheetName val="к_84-к_833"/>
      <sheetName val="свод_23"/>
      <sheetName val="Зап-3-_СЦБ3"/>
      <sheetName val="Пример_расчета3"/>
      <sheetName val="СметаСводная_Рыб3"/>
      <sheetName val="Коэфф1_3"/>
      <sheetName val="6_32"/>
      <sheetName val="6_72"/>
      <sheetName val="6_3_1_32"/>
      <sheetName val="Смета2_проект__раб_3"/>
      <sheetName val="Смета_13"/>
      <sheetName val="Production_and_Spend2"/>
      <sheetName val="Прайс_лист3"/>
      <sheetName val="См_1_наруж_водопровод3"/>
      <sheetName val="Разработка_проекта3"/>
      <sheetName val="КП_НовоКов3"/>
      <sheetName val="СметаСводная_1_оч3"/>
      <sheetName val="свод_(2)2"/>
      <sheetName val="Калплан_ОИ2_Макм_крестики2"/>
      <sheetName val="Св__смета2"/>
      <sheetName val="РБС_ИЗМ12"/>
      <sheetName val="Таблица_22"/>
      <sheetName val="ст_ГТМ2"/>
      <sheetName val="кп_ГК2"/>
      <sheetName val="Справочные_данные2"/>
      <sheetName val="суб_подряд3"/>
      <sheetName val="ПСБ_-_ОЭ3"/>
      <sheetName val="смета_СИД2"/>
      <sheetName val="ресурсная_вед_2"/>
      <sheetName val="КП_к_ГК2"/>
      <sheetName val="изыскания_22"/>
      <sheetName val="Калплан_Кра2"/>
      <sheetName val="6_11_новый2"/>
      <sheetName val="См_3_АСУ1"/>
      <sheetName val="Полигон_-_ИЭИ_1"/>
      <sheetName val="Смета_ТЗ_АСУ-161"/>
      <sheetName val="База_Геодезия1"/>
      <sheetName val="База_Геология1"/>
      <sheetName val="База_Геофизика1"/>
      <sheetName val="4_1_11"/>
      <sheetName val="исп_1_1_11"/>
      <sheetName val="База_Гидро1"/>
      <sheetName val="4_2_11"/>
      <sheetName val="исп_1_1_21"/>
      <sheetName val="Исп__смета_этап_1_1,_1_21"/>
      <sheetName val="КБК_ДПК"/>
      <sheetName val="ТЗ_АСУ-1"/>
      <sheetName val="лч_и_кам"/>
      <sheetName val="ИД_СМР"/>
      <sheetName val="Вспом_"/>
      <sheetName val="2_Геология"/>
      <sheetName val="Объем_работ"/>
      <sheetName val="Виды_работ_АСО"/>
      <sheetName val="таблица_руко_1"/>
      <sheetName val="ФОТ_для_смет"/>
      <sheetName val="таблица_руко_"/>
      <sheetName val="Исх__данные"/>
      <sheetName val="Main_list"/>
      <sheetName val="ПД-2_2"/>
      <sheetName val="1_14"/>
      <sheetName val="1_7"/>
      <sheetName val="Промер_глуб"/>
      <sheetName val="Форма 2.1"/>
      <sheetName val="ДЦ"/>
      <sheetName val=" Оборудование  end"/>
      <sheetName val="автоматизация РД"/>
      <sheetName val="W28"/>
      <sheetName val="См_2 Шатурс сети  проект работы"/>
      <sheetName val="выборка "/>
      <sheetName val="выборка раб"/>
      <sheetName val="РабПр"/>
      <sheetName val="Свод2006"/>
      <sheetName val="1 кв"/>
      <sheetName val="РС"/>
      <sheetName val="Акт-Смета_30"/>
      <sheetName val="Смета 2 эл.монтаж"/>
      <sheetName val="Смета 1 общестроит"/>
      <sheetName val="сводная (2)"/>
      <sheetName val="см 5 ОДД "/>
      <sheetName val="Смета _4ПР ЭХЗ"/>
      <sheetName val="Акт выполненных работ 46"/>
      <sheetName val="SMW_Служебная"/>
      <sheetName val="СВ"/>
      <sheetName val="Настройки"/>
      <sheetName val="Производство электроэнергии"/>
      <sheetName val="Т11"/>
      <sheetName val="Т12"/>
      <sheetName val="Т7"/>
      <sheetName val="GLOBAL"/>
      <sheetName val="Прочее"/>
      <sheetName val="ИНСТРУКЦИЯ"/>
      <sheetName val="темп"/>
      <sheetName val="ЛЧ Р"/>
      <sheetName val="2.1"/>
      <sheetName val="Расч(подряд)"/>
      <sheetName val="PLиюль04"/>
      <sheetName val="PL СКР"/>
      <sheetName val="1.1"/>
      <sheetName val="1.2-1"/>
      <sheetName val="1.2-2"/>
      <sheetName val="1.2-3"/>
      <sheetName val="1.2-4"/>
      <sheetName val="1.2-5"/>
      <sheetName val="1.3.1"/>
      <sheetName val="1.3.2"/>
      <sheetName val="1.3.3"/>
      <sheetName val="1.4.1.1"/>
      <sheetName val="1.4.1.2"/>
      <sheetName val="1.4.1.3"/>
      <sheetName val="1.4.1.5"/>
      <sheetName val="1.5"/>
      <sheetName val="№2.1"/>
      <sheetName val="№2.2-1"/>
      <sheetName val="№2.2-2"/>
      <sheetName val="№2.2-3 "/>
      <sheetName val="2.2-5 "/>
      <sheetName val="№2.3.1"/>
      <sheetName val="№2.3.2"/>
      <sheetName val="2.3.3"/>
      <sheetName val="2.4.1.1"/>
      <sheetName val="2.4.1.3"/>
      <sheetName val="№3.1"/>
      <sheetName val="№3.2-1"/>
      <sheetName val="№3.2-2"/>
      <sheetName val="№3.2-3"/>
      <sheetName val="3.2-5 "/>
      <sheetName val="3.3.1"/>
      <sheetName val="3.3.2"/>
      <sheetName val="3.3.3"/>
      <sheetName val="3.4.1.3"/>
      <sheetName val="2.6"/>
      <sheetName val="2.7"/>
      <sheetName val="4.1"/>
      <sheetName val="4.2"/>
      <sheetName val="4.3"/>
      <sheetName val="4.4"/>
      <sheetName val="4.5"/>
      <sheetName val="4.6"/>
      <sheetName val="4.7"/>
      <sheetName val="4.9"/>
      <sheetName val="4.10"/>
      <sheetName val="4.10 (3)"/>
      <sheetName val="4.10 (2)"/>
      <sheetName val="4.11"/>
      <sheetName val="4.12"/>
      <sheetName val="4.13"/>
      <sheetName val="4.14"/>
      <sheetName val="4.15"/>
      <sheetName val="4.16"/>
      <sheetName val="4.17"/>
      <sheetName val="4.18"/>
      <sheetName val="4.19"/>
      <sheetName val="5.1"/>
      <sheetName val="5.2"/>
      <sheetName val="5.3"/>
      <sheetName val="5.4"/>
      <sheetName val="5.5"/>
      <sheetName val="5.6"/>
      <sheetName val="5.7"/>
      <sheetName val="5.8"/>
      <sheetName val="Настройка"/>
      <sheetName val="База ВОП"/>
      <sheetName val="База ПИР"/>
      <sheetName val="2.2"/>
      <sheetName val="2.3"/>
      <sheetName val="2.3.2"/>
      <sheetName val="2.4"/>
      <sheetName val="2.5"/>
      <sheetName val=" Ком"/>
      <sheetName val="2.3.лаб"/>
      <sheetName val="3.1земля"/>
      <sheetName val="6.1-7.1"/>
      <sheetName val="рекульт"/>
      <sheetName val="ГО и ЧС"/>
      <sheetName val="ДПБ"/>
      <sheetName val="№3"/>
      <sheetName val="№1 СИД"/>
      <sheetName val="№2 Ком дьяк"/>
      <sheetName val="№3.2"/>
      <sheetName val="№3.3"/>
      <sheetName val="СВ смета"/>
      <sheetName val="№3.4"/>
      <sheetName val="№4 ПДЛУ и ЗУ"/>
      <sheetName val="№5 ППиМТ"/>
      <sheetName val="№6.1 ТГВ"/>
      <sheetName val="№6.2 ЭХЗ"/>
      <sheetName val="№6.3 ЭС (согл )"/>
      <sheetName val="№6.4 КИП"/>
      <sheetName val="№6.5 Согл (КИП) "/>
      <sheetName val="№6.6 МЕО "/>
      <sheetName val="№6.7 ПожБ (ПД)"/>
      <sheetName val="№6.8 Пром без (ПД)"/>
      <sheetName val="№6.9 эк аспект"/>
      <sheetName val="№6.10 ОВОС"/>
      <sheetName val="№6.11 отвод"/>
      <sheetName val="№6.12 рекул"/>
      <sheetName val="№6.13 отход"/>
      <sheetName val="№6.14 выброс"/>
      <sheetName val="№6.15 ИБ (ПД)"/>
      <sheetName val="№6.16 ИБ (РД)"/>
      <sheetName val="Таблица"/>
      <sheetName val="rankout"/>
      <sheetName val="Акты"/>
      <sheetName val="ЛС_БИ"/>
      <sheetName val="1-1"/>
      <sheetName val="1-2"/>
      <sheetName val="1-4"/>
      <sheetName val="изм2-1"/>
      <sheetName val="2-2"/>
      <sheetName val="2-3"/>
      <sheetName val="изм7-1"/>
      <sheetName val="изм9-1"/>
      <sheetName val="Список_объектов"/>
      <sheetName val="Коэффициенты"/>
      <sheetName val="таблица_руко "/>
      <sheetName val="ТЗ_АСУ-11"/>
      <sheetName val="лч_и_кам1"/>
      <sheetName val="Бл_электр_1"/>
      <sheetName val="2_Геология1"/>
      <sheetName val="Объем_работ1"/>
      <sheetName val="Виды_работ_АСО1"/>
      <sheetName val="ИД_СМР1"/>
      <sheetName val="ФОТ_для_смет1"/>
      <sheetName val="КБК_ДПК1"/>
      <sheetName val="Main_list1"/>
      <sheetName val="ПД-2_21"/>
      <sheetName val="1_141"/>
      <sheetName val="1_71"/>
      <sheetName val="Вспом_1"/>
      <sheetName val="ЕТС_(ф)1"/>
      <sheetName val="Индексы"/>
      <sheetName val="телемехан"/>
      <sheetName val="13_13"/>
      <sheetName val="Пояснение_2"/>
      <sheetName val="смета_2_проект__работы2"/>
      <sheetName val="СтрЗапасов_(2)2"/>
      <sheetName val="PwC_Copies_from_old_models_--&gt;2"/>
      <sheetName val="Сравнение_ДПН_факт_06-072"/>
      <sheetName val="НМ_расчеты2"/>
      <sheetName val="Коэф_КВ2"/>
      <sheetName val="Смета_терзем2"/>
      <sheetName val="Кал_план_Жукова_даты_-_не_надо2"/>
      <sheetName val="матер_2"/>
      <sheetName val="КП_Прим_(3)2"/>
      <sheetName val="кп_(3)2"/>
      <sheetName val="фонтан_разбитый22"/>
      <sheetName val="Баланс_(Ф1)2"/>
      <sheetName val="Смета_3_Гидролог2"/>
      <sheetName val="Записка_СЦБ2"/>
      <sheetName val="РС_2"/>
      <sheetName val="таблица_руко_2"/>
      <sheetName val="эл_химз_5"/>
      <sheetName val="геология_5"/>
      <sheetName val="6_145"/>
      <sheetName val="6_3_15"/>
      <sheetName val="6_205"/>
      <sheetName val="6_4_15"/>
      <sheetName val="6_11_1__сторонние5"/>
      <sheetName val="8_14_КР_(списание)ОПСТИКР5"/>
      <sheetName val="Данные_для_расчёта_сметы4"/>
      <sheetName val="6_14_КР4"/>
      <sheetName val="13_14"/>
      <sheetName val="свод_24"/>
      <sheetName val="Зап-3-_СЦБ4"/>
      <sheetName val="Пример_расчета4"/>
      <sheetName val="СметаСводная_Рыб4"/>
      <sheetName val="Текущие_цены4"/>
      <sheetName val="отчет_эл_эн__20004"/>
      <sheetName val="к_84-к_834"/>
      <sheetName val="Коэфф1_4"/>
      <sheetName val="6_33"/>
      <sheetName val="6_73"/>
      <sheetName val="6_3_1_33"/>
      <sheetName val="КП_(2)3"/>
      <sheetName val="свод_33"/>
      <sheetName val="Смета2_проект__раб_4"/>
      <sheetName val="Смета_14"/>
      <sheetName val="СМЕТА_проект3"/>
      <sheetName val="Production_and_Spend3"/>
      <sheetName val="Прайс_лист4"/>
      <sheetName val="1_33"/>
      <sheetName val="К_рын3"/>
      <sheetName val="Сводная_смета3"/>
      <sheetName val="См_1_наруж_водопровод4"/>
      <sheetName val="Разработка_проекта4"/>
      <sheetName val="КП_НовоКов4"/>
      <sheetName val="СметаСводная_1_оч4"/>
      <sheetName val="Переменные_и_константы3"/>
      <sheetName val="свод_(2)3"/>
      <sheetName val="Калплан_ОИ2_Макм_крестики3"/>
      <sheetName val="СметаСводная_павильон3"/>
      <sheetName val="Св__смета3"/>
      <sheetName val="РБС_ИЗМ13"/>
      <sheetName val="СметаСводная_снег3"/>
      <sheetName val="Лист_опроса3"/>
      <sheetName val="Исполнение__освоение_по_закупк3"/>
      <sheetName val="Исполнение_для_Ускова3"/>
      <sheetName val="Выборка_по_отсыпкам3"/>
      <sheetName val="ИП__отсыпки_3"/>
      <sheetName val="ИП__отсыпки_ФОТ_диз_т_3"/>
      <sheetName val="ИП__отсыпки___выборка_3"/>
      <sheetName val="Исполнение_по_оборуд_3"/>
      <sheetName val="Исполнение_по_оборуд___2_3"/>
      <sheetName val="Исполнение_сжато3"/>
      <sheetName val="Форма_для_бурения3"/>
      <sheetName val="Форма_для_КС3"/>
      <sheetName val="Форма_для_ГР3"/>
      <sheetName val="Смета_1свод3"/>
      <sheetName val="таблица_руководству3"/>
      <sheetName val="Суточная_добыча_за_неделю3"/>
      <sheetName val="Прибыль_опл3"/>
      <sheetName val="№5_СУБ_Инж_защ3"/>
      <sheetName val="HP_и_оргтехника3"/>
      <sheetName val="Таблица_23"/>
      <sheetName val="Таблица_4_АСУТП3"/>
      <sheetName val="ст_ГТМ3"/>
      <sheetName val="ПДР_ООО_&quot;Юкос_ФБЦ&quot;3"/>
      <sheetName val="исходные_данные3"/>
      <sheetName val="расчетные_таблицы3"/>
      <sheetName val="Амур_ДОН3"/>
      <sheetName val="кп_ГК3"/>
      <sheetName val="Справочные_данные3"/>
      <sheetName val="Б_Сатка3"/>
      <sheetName val="справ_4"/>
      <sheetName val="Перечень_ИУ3"/>
      <sheetName val="3_1_ТХ3"/>
      <sheetName val="СметаСводная_Колпино3"/>
      <sheetName val="3_53"/>
      <sheetName val="суб_подряд4"/>
      <sheetName val="ПСБ_-_ОЭ4"/>
      <sheetName val="Смета_23"/>
      <sheetName val="Ачинский_НПЗ3"/>
      <sheetName val="См3_СЦБ-зап3"/>
      <sheetName val="Хаттон_90_90_Femco3"/>
      <sheetName val="свод_общ3"/>
      <sheetName val="Смета_5_2__Кусты25,29,31,653"/>
      <sheetName val="смета_СИД3"/>
      <sheetName val="ресурсная_вед_3"/>
      <sheetName val="р_Волхов3"/>
      <sheetName val="КП_к_ГК3"/>
      <sheetName val="изыскания_23"/>
      <sheetName val="Калплан_Кра3"/>
      <sheetName val="6_11_новый3"/>
      <sheetName val="Opex_personnel_(Term_facs)3"/>
      <sheetName val="Капитальные_затраты3"/>
      <sheetName val="Пояснение_3"/>
      <sheetName val="3_13"/>
      <sheetName val="Коммерческие_расходы3"/>
      <sheetName val="смета_2_проект__работы3"/>
      <sheetName val="СС_замеч_с_ответами3"/>
      <sheetName val="УП__20043"/>
      <sheetName val="в_работу3"/>
      <sheetName val="3_23"/>
      <sheetName val="3_33"/>
      <sheetName val="Р2_13"/>
      <sheetName val="Р2_23"/>
      <sheetName val="Удельные(проф_)3"/>
      <sheetName val="Константы_и_результаты3"/>
      <sheetName val="расчет_№33"/>
      <sheetName val="20_Кредиты_краткосрочные3"/>
      <sheetName val="Перечень_Заказчиков3"/>
      <sheetName val="2_2_3"/>
      <sheetName val="СтрЗапасов_(2)3"/>
      <sheetName val="PwC_Copies_from_old_models_--&gt;3"/>
      <sheetName val="Сравнение_ДПН_факт_06-073"/>
      <sheetName val="НМ_расчеты3"/>
      <sheetName val="КП_к_снег_Рыбинская3"/>
      <sheetName val="Коэф_КВ3"/>
      <sheetName val="Смета_терзем3"/>
      <sheetName val="Кал_план_Жукова_даты_-_не_надо3"/>
      <sheetName val="матер_3"/>
      <sheetName val="КП_Прим_(3)3"/>
      <sheetName val="кп_(3)3"/>
      <sheetName val="фонтан_разбитый23"/>
      <sheetName val="Баланс_(Ф1)3"/>
      <sheetName val="Смета_3_Гидролог3"/>
      <sheetName val="Записка_СЦБ3"/>
      <sheetName val="РС_3"/>
      <sheetName val="Source_lists2"/>
      <sheetName val="Общая_часть2"/>
      <sheetName val="Табл_53"/>
      <sheetName val="Табл_23"/>
      <sheetName val="См_№3_ОПР2"/>
      <sheetName val="см_№6_АВЗУ_и_ГПЗУ2"/>
      <sheetName val="Input_Assumptions2"/>
      <sheetName val="см_№1_1_Геодезические_работы_2"/>
      <sheetName val="см_№1_4_Экология_2"/>
      <sheetName val="АСУ_ТП_1_этап_ПД2"/>
      <sheetName val="Расчет_курса2"/>
      <sheetName val="Курс_доллара2"/>
      <sheetName val="Календарь_новый2"/>
      <sheetName val="Смета_№_1_ИИ_линия2"/>
      <sheetName val="Дополнительные_параметры2"/>
      <sheetName val="Свод_объем2"/>
      <sheetName val="Дог_цена2"/>
      <sheetName val="выборка_на22_июня2"/>
      <sheetName val="3труба_(П)2"/>
      <sheetName val="Объемы_работ_по_ПВ2"/>
      <sheetName val="Таблица_52"/>
      <sheetName val="Таблица_32"/>
      <sheetName val="1_401_22"/>
      <sheetName val="PO_Data2"/>
      <sheetName val="Раб_АУ2"/>
      <sheetName val="р_Нева3"/>
      <sheetName val="р_Молога3"/>
      <sheetName val="18_рек_Ю-Х3"/>
      <sheetName val="нпс_Палкино3"/>
      <sheetName val="Россия_-_Китай3"/>
      <sheetName val="КМ_210-2383"/>
      <sheetName val="БТС-2_км_405-4593"/>
      <sheetName val="БТС-2_км_405-4533"/>
      <sheetName val="БТС-2_км_313-3523"/>
      <sheetName val="БТС-2_км326-3523"/>
      <sheetName val="Улейма_И3"/>
      <sheetName val="Белая_УБКА3"/>
      <sheetName val="км_72-75р_Левоннька3"/>
      <sheetName val="киенгоп-н_Челны_км_104-2063"/>
      <sheetName val="ВЛ_Урдома3"/>
      <sheetName val="Вл_Микунь_Урдома3"/>
      <sheetName val="ВЛ_Синдор-Микунь3"/>
      <sheetName val="Тон_Чермасан3"/>
      <sheetName val="Трасса_км_16-1473"/>
      <sheetName val="трасса_0-763"/>
      <sheetName val="Колва_783"/>
      <sheetName val="Гидрология__р_Колва_км_383"/>
      <sheetName val="ПСП_3"/>
      <sheetName val="Новая_сводка_(до_бюджета)_(2)4"/>
      <sheetName val="Что_пришло4"/>
      <sheetName val="влад-таблица_(2)4"/>
      <sheetName val="Новая_сводка_(до_бюджета)4"/>
      <sheetName val="Новая_сводка4"/>
      <sheetName val="Общие_расходы4"/>
      <sheetName val="Новая_сводка_(по_бюджету)4"/>
      <sheetName val="Íîâàÿ_ñâîäêà_(äî_áþäæåòà)_(2)4"/>
      <sheetName val="×òî_ïðèøëî4"/>
      <sheetName val="âëàä-òàáëèöà_(2)4"/>
      <sheetName val="Íîâàÿ_ñâîäêà_(äî_áþäæåòà)4"/>
      <sheetName val="Íîâàÿ_ñâîäêà4"/>
      <sheetName val="Îáùèå_ðàñõîäû4"/>
      <sheetName val="Íîâàÿ_ñâîäêà_(ïî_áþäæåòó)4"/>
      <sheetName val="6_10_14"/>
      <sheetName val="6_7_3_ТН4"/>
      <sheetName val="6_15"/>
      <sheetName val="6_52-свод3"/>
      <sheetName val="ДДС_(Форма_№3)2"/>
      <sheetName val="Сводная_2"/>
      <sheetName val="7_ТХ_Сети_(кор)2"/>
      <sheetName val="Tier_3112082"/>
      <sheetName val="Акт_выбора2"/>
      <sheetName val="См_№7_Эл_2"/>
      <sheetName val="См_№8_Пож_2"/>
      <sheetName val="См_№3_ВиК2"/>
      <sheetName val="Сметы_за_сопровождение2"/>
      <sheetName val="См_3_АСУ2"/>
      <sheetName val="Полигон_-_ИЭИ_2"/>
      <sheetName val="Смета_ТЗ_АСУ-162"/>
      <sheetName val="База_Геодезия2"/>
      <sheetName val="База_Геология2"/>
      <sheetName val="База_Геофизика2"/>
      <sheetName val="4_1_12"/>
      <sheetName val="исп_1_1_12"/>
      <sheetName val="База_Гидро2"/>
      <sheetName val="4_2_12"/>
      <sheetName val="исп_1_1_22"/>
      <sheetName val="Исп__смета_этап_1_1,_1_22"/>
      <sheetName val="Бл_электр_2"/>
      <sheetName val="лч_и_кам2"/>
      <sheetName val="ТЗ_АСУ-12"/>
      <sheetName val="ИД_СМР2"/>
      <sheetName val="Вспом_2"/>
      <sheetName val="2_Геология2"/>
      <sheetName val="Объем_работ2"/>
      <sheetName val="Виды_работ_АСО2"/>
      <sheetName val="ФОТ_для_смет2"/>
      <sheetName val="КБК_ДПК2"/>
      <sheetName val="ЕТС_(ф)2"/>
      <sheetName val="таблица_руко_3"/>
      <sheetName val="эл_химз_6"/>
      <sheetName val="геология_6"/>
      <sheetName val="6_146"/>
      <sheetName val="6_3_16"/>
      <sheetName val="6_206"/>
      <sheetName val="6_4_16"/>
      <sheetName val="6_11_1__сторонние6"/>
      <sheetName val="8_14_КР_(списание)ОПСТИКР6"/>
      <sheetName val="Данные_для_расчёта_сметы5"/>
      <sheetName val="6_14_КР5"/>
      <sheetName val="13_15"/>
      <sheetName val="свод_25"/>
      <sheetName val="Зап-3-_СЦБ5"/>
      <sheetName val="Пример_расчета5"/>
      <sheetName val="СметаСводная_Рыб5"/>
      <sheetName val="Текущие_цены5"/>
      <sheetName val="отчет_эл_эн__20005"/>
      <sheetName val="к_84-к_835"/>
      <sheetName val="Коэфф1_5"/>
      <sheetName val="6_34"/>
      <sheetName val="6_74"/>
      <sheetName val="6_3_1_34"/>
      <sheetName val="КП_(2)4"/>
      <sheetName val="свод_34"/>
      <sheetName val="Смета2_проект__раб_5"/>
      <sheetName val="Смета_15"/>
      <sheetName val="СМЕТА_проект4"/>
      <sheetName val="Production_and_Spend4"/>
      <sheetName val="Прайс_лист5"/>
      <sheetName val="1_34"/>
      <sheetName val="К_рын4"/>
      <sheetName val="Сводная_смета4"/>
      <sheetName val="См_1_наруж_водопровод5"/>
      <sheetName val="Разработка_проекта5"/>
      <sheetName val="КП_НовоКов5"/>
      <sheetName val="СметаСводная_1_оч5"/>
      <sheetName val="Переменные_и_константы4"/>
      <sheetName val="свод_(2)4"/>
      <sheetName val="Калплан_ОИ2_Макм_крестики4"/>
      <sheetName val="СметаСводная_павильон4"/>
      <sheetName val="Св__смета4"/>
      <sheetName val="РБС_ИЗМ14"/>
      <sheetName val="СметаСводная_снег4"/>
      <sheetName val="Лист_опроса4"/>
      <sheetName val="Исполнение__освоение_по_закупк4"/>
      <sheetName val="Исполнение_для_Ускова4"/>
      <sheetName val="Выборка_по_отсыпкам4"/>
      <sheetName val="ИП__отсыпки_4"/>
      <sheetName val="ИП__отсыпки_ФОТ_диз_т_4"/>
      <sheetName val="ИП__отсыпки___выборка_4"/>
      <sheetName val="Исполнение_по_оборуд_4"/>
      <sheetName val="Исполнение_по_оборуд___2_4"/>
      <sheetName val="Исполнение_сжато4"/>
      <sheetName val="Форма_для_бурения4"/>
      <sheetName val="Форма_для_КС4"/>
      <sheetName val="Форма_для_ГР4"/>
      <sheetName val="Смета_1свод4"/>
      <sheetName val="таблица_руководству4"/>
      <sheetName val="Суточная_добыча_за_неделю4"/>
      <sheetName val="Прибыль_опл4"/>
      <sheetName val="№5_СУБ_Инж_защ4"/>
      <sheetName val="HP_и_оргтехника4"/>
      <sheetName val="Таблица_24"/>
      <sheetName val="Таблица_4_АСУТП4"/>
      <sheetName val="ст_ГТМ4"/>
      <sheetName val="ПДР_ООО_&quot;Юкос_ФБЦ&quot;4"/>
      <sheetName val="исходные_данные4"/>
      <sheetName val="расчетные_таблицы4"/>
      <sheetName val="Амур_ДОН4"/>
      <sheetName val="кп_ГК4"/>
      <sheetName val="Справочные_данные4"/>
      <sheetName val="Б_Сатка4"/>
      <sheetName val="справ_5"/>
      <sheetName val="Перечень_ИУ4"/>
      <sheetName val="3_1_ТХ4"/>
      <sheetName val="СметаСводная_Колпино4"/>
      <sheetName val="3_54"/>
      <sheetName val="суб_подряд5"/>
      <sheetName val="ПСБ_-_ОЭ5"/>
      <sheetName val="Смета_24"/>
      <sheetName val="Ачинский_НПЗ4"/>
      <sheetName val="См3_СЦБ-зап4"/>
      <sheetName val="Хаттон_90_90_Femco4"/>
      <sheetName val="свод_общ4"/>
      <sheetName val="Смета_5_2__Кусты25,29,31,654"/>
      <sheetName val="смета_СИД4"/>
      <sheetName val="ресурсная_вед_4"/>
      <sheetName val="р_Волхов4"/>
      <sheetName val="КП_к_ГК4"/>
      <sheetName val="изыскания_24"/>
      <sheetName val="Калплан_Кра4"/>
      <sheetName val="6_11_новый4"/>
      <sheetName val="Opex_personnel_(Term_facs)4"/>
      <sheetName val="Капитальные_затраты4"/>
      <sheetName val="Пояснение_4"/>
      <sheetName val="3_14"/>
      <sheetName val="Коммерческие_расходы4"/>
      <sheetName val="смета_2_проект__работы4"/>
      <sheetName val="СС_замеч_с_ответами4"/>
      <sheetName val="УП__20044"/>
      <sheetName val="в_работу4"/>
      <sheetName val="3_24"/>
      <sheetName val="3_34"/>
      <sheetName val="Р2_14"/>
      <sheetName val="Р2_24"/>
      <sheetName val="Удельные(проф_)4"/>
      <sheetName val="Константы_и_результаты4"/>
      <sheetName val="расчет_№34"/>
      <sheetName val="20_Кредиты_краткосрочные4"/>
      <sheetName val="Перечень_Заказчиков4"/>
      <sheetName val="2_2_4"/>
      <sheetName val="СтрЗапасов_(2)4"/>
      <sheetName val="PwC_Copies_from_old_models_--&gt;4"/>
      <sheetName val="Сравнение_ДПН_факт_06-074"/>
      <sheetName val="НМ_расчеты4"/>
      <sheetName val="КП_к_снег_Рыбинская4"/>
      <sheetName val="Коэф_КВ4"/>
      <sheetName val="Смета_терзем4"/>
      <sheetName val="Кал_план_Жукова_даты_-_не_надо4"/>
      <sheetName val="матер_4"/>
      <sheetName val="КП_Прим_(3)4"/>
      <sheetName val="кп_(3)4"/>
      <sheetName val="фонтан_разбитый24"/>
      <sheetName val="Баланс_(Ф1)4"/>
      <sheetName val="Смета_3_Гидролог4"/>
      <sheetName val="Записка_СЦБ4"/>
      <sheetName val="РС_4"/>
      <sheetName val="Source_lists3"/>
      <sheetName val="Общая_часть3"/>
      <sheetName val="Табл_54"/>
      <sheetName val="Табл_24"/>
      <sheetName val="См_№3_ОПР3"/>
      <sheetName val="см_№6_АВЗУ_и_ГПЗУ3"/>
      <sheetName val="Input_Assumptions3"/>
      <sheetName val="см_№1_1_Геодезические_работы_3"/>
      <sheetName val="см_№1_4_Экология_3"/>
      <sheetName val="АСУ_ТП_1_этап_ПД3"/>
      <sheetName val="Расчет_курса3"/>
      <sheetName val="Курс_доллара3"/>
      <sheetName val="Календарь_новый3"/>
      <sheetName val="Смета_№_1_ИИ_линия3"/>
      <sheetName val="Дополнительные_параметры3"/>
      <sheetName val="Свод_объем3"/>
      <sheetName val="Дог_цена3"/>
      <sheetName val="выборка_на22_июня3"/>
      <sheetName val="3труба_(П)3"/>
      <sheetName val="Объемы_работ_по_ПВ3"/>
      <sheetName val="Таблица_53"/>
      <sheetName val="Таблица_33"/>
      <sheetName val="1_401_23"/>
      <sheetName val="PO_Data3"/>
      <sheetName val="Раб_АУ3"/>
      <sheetName val="р_Нева4"/>
      <sheetName val="р_Молога4"/>
      <sheetName val="18_рек_Ю-Х4"/>
      <sheetName val="нпс_Палкино4"/>
      <sheetName val="Россия_-_Китай4"/>
      <sheetName val="КМ_210-2384"/>
      <sheetName val="БТС-2_км_405-4594"/>
      <sheetName val="БТС-2_км_405-4534"/>
      <sheetName val="БТС-2_км_313-3524"/>
      <sheetName val="БТС-2_км326-3524"/>
      <sheetName val="Улейма_И4"/>
      <sheetName val="Белая_УБКА4"/>
      <sheetName val="км_72-75р_Левоннька4"/>
      <sheetName val="киенгоп-н_Челны_км_104-2064"/>
      <sheetName val="ВЛ_Урдома4"/>
      <sheetName val="Вл_Микунь_Урдома4"/>
      <sheetName val="ВЛ_Синдор-Микунь4"/>
      <sheetName val="Тон_Чермасан4"/>
      <sheetName val="Трасса_км_16-1474"/>
      <sheetName val="трасса_0-764"/>
      <sheetName val="Колва_784"/>
      <sheetName val="Гидрология__р_Колва_км_384"/>
      <sheetName val="ПСП_4"/>
      <sheetName val="Новая_сводка_(до_бюджета)_(2)5"/>
      <sheetName val="Что_пришло5"/>
      <sheetName val="влад-таблица_(2)5"/>
      <sheetName val="Новая_сводка_(до_бюджета)5"/>
      <sheetName val="Новая_сводка5"/>
      <sheetName val="Общие_расходы5"/>
      <sheetName val="Новая_сводка_(по_бюджету)5"/>
      <sheetName val="Íîâàÿ_ñâîäêà_(äî_áþäæåòà)_(2)5"/>
      <sheetName val="×òî_ïðèøëî5"/>
      <sheetName val="âëàä-òàáëèöà_(2)5"/>
      <sheetName val="Íîâàÿ_ñâîäêà_(äî_áþäæåòà)5"/>
      <sheetName val="Íîâàÿ_ñâîäêà5"/>
      <sheetName val="Îáùèå_ðàñõîäû5"/>
      <sheetName val="Íîâàÿ_ñâîäêà_(ïî_áþäæåòó)5"/>
      <sheetName val="6_10_15"/>
      <sheetName val="6_7_3_ТН5"/>
      <sheetName val="6_16"/>
      <sheetName val="6_52-свод4"/>
      <sheetName val="ДДС_(Форма_№3)3"/>
      <sheetName val="Сводная_3"/>
      <sheetName val="7_ТХ_Сети_(кор)3"/>
      <sheetName val="Tier_3112083"/>
      <sheetName val="Акт_выбора3"/>
      <sheetName val="См_№7_Эл_3"/>
      <sheetName val="См_№8_Пож_3"/>
      <sheetName val="См_№3_ВиК3"/>
      <sheetName val="Сметы_за_сопровождение3"/>
      <sheetName val="См_3_АСУ3"/>
      <sheetName val="Полигон_-_ИЭИ_3"/>
      <sheetName val="Смета_ТЗ_АСУ-163"/>
      <sheetName val="База_Геодезия3"/>
      <sheetName val="База_Геология3"/>
      <sheetName val="База_Геофизика3"/>
      <sheetName val="4_1_13"/>
      <sheetName val="исп_1_1_13"/>
      <sheetName val="База_Гидро3"/>
      <sheetName val="4_2_13"/>
      <sheetName val="исп_1_1_23"/>
      <sheetName val="Исп__смета_этап_1_1,_1_23"/>
      <sheetName val="Бл_электр_3"/>
      <sheetName val="лч_и_кам3"/>
      <sheetName val="ТЗ_АСУ-13"/>
      <sheetName val="ИД_СМР3"/>
      <sheetName val="Вспом_3"/>
      <sheetName val="2_Геология3"/>
      <sheetName val="Объем_работ3"/>
      <sheetName val="Виды_работ_АСО3"/>
      <sheetName val="ФОТ_для_смет3"/>
      <sheetName val="КБК_ДПК3"/>
      <sheetName val="ЕТС_(ф)3"/>
      <sheetName val="таблица_руко_4"/>
      <sheetName val="Расчет_№1_1"/>
      <sheetName val="Расчет_№2_1"/>
      <sheetName val="Исх__данные1"/>
      <sheetName val="Исх__данные2"/>
      <sheetName val="Main_list2"/>
      <sheetName val="ПД-2_22"/>
      <sheetName val="1_142"/>
      <sheetName val="1_72"/>
      <sheetName val="Промер_глуб1"/>
      <sheetName val="кап_ремонт"/>
      <sheetName val="СВ_2"/>
      <sheetName val="1_2_"/>
      <sheetName val="РАСПРЕД_ПО_ПРОЦЕСС"/>
      <sheetName val="Приложение_2"/>
      <sheetName val="Исх_"/>
      <sheetName val="Ограничения_шаблон"/>
      <sheetName val="Причины_отклонений"/>
      <sheetName val="Статус_работы"/>
      <sheetName val="Уровень_графика"/>
      <sheetName val="ИД_ПНР"/>
      <sheetName val="Технический_лист"/>
      <sheetName val="анализ_2003_2004исполнение_МТО"/>
      <sheetName val="aeaa-oaaeeoa"/>
      <sheetName val="Iiaay naiaea (ai a?a?aoa) (2)"/>
      <sheetName val="?oi i?eoei"/>
      <sheetName val="aeaa-oaaeeoa (2)"/>
      <sheetName val="Iiaay naiaea (ai a?a?aoa)"/>
      <sheetName val="Naiaea"/>
      <sheetName val="Iiaay naiaea"/>
      <sheetName val="A?-o"/>
      <sheetName val="Ia?aoInoaoee"/>
      <sheetName val="Iauea ?anoiau"/>
      <sheetName val="Iiaay naiaea (ii a?a?aoo)"/>
      <sheetName val="Iiaay_naiaea_(ai_a?a?aoa)_(2)"/>
      <sheetName val="?oi_i?eoei"/>
      <sheetName val="aeaa-oaaeeoa_(2)"/>
      <sheetName val="Iiaay_naiaea_(ai_a?a?aoa)"/>
      <sheetName val="Iiaay_naiaea"/>
      <sheetName val="Iauea_?anoiau"/>
      <sheetName val="Iiaay_naiaea_(ii_a?a?aoo)"/>
      <sheetName val="Iiaay_naiaea_(ai_a?a?aoa)_(2)1"/>
      <sheetName val="?oi_i?eoei1"/>
      <sheetName val="aeaa-oaaeeoa_(2)1"/>
      <sheetName val="Iiaay_naiaea_(ai_a?a?aoa)1"/>
      <sheetName val="Iiaay_naiaea1"/>
      <sheetName val="Iauea_?anoiau1"/>
      <sheetName val="Iiaay_naiaea_(ii_a?a?aoo)1"/>
      <sheetName val="?????????????????"/>
      <sheetName val="ЖД 3.1"/>
      <sheetName val="УСР"/>
      <sheetName val="Объемы"/>
      <sheetName val="СметаСводная п54"/>
      <sheetName val="СметаСводная пуш"/>
      <sheetName val="Восстановл_Лис礊め_x0005_"/>
      <sheetName val="Ref"/>
      <sheetName val="7"/>
      <sheetName val="СМ          "/>
      <sheetName val="таблица_руко       "/>
      <sheetName val="таблица_руко  _x0009_    "/>
      <sheetName val="исключ_ЭХЗ"/>
      <sheetName val="исключ_ЭХЗ1"/>
      <sheetName val="Восстановл_Л_x0000__x0000_Ԁ_x0000_耀"/>
      <sheetName val="Восстановл_Л_x0000__x0000__x0000__x0000__x0000_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>
        <row r="1">
          <cell r="B1">
            <v>0</v>
          </cell>
        </row>
      </sheetData>
      <sheetData sheetId="999"/>
      <sheetData sheetId="1000"/>
      <sheetData sheetId="1001"/>
      <sheetData sheetId="1002"/>
      <sheetData sheetId="1003">
        <row r="1">
          <cell r="B1">
            <v>0</v>
          </cell>
        </row>
      </sheetData>
      <sheetData sheetId="1004">
        <row r="1">
          <cell r="B1">
            <v>0</v>
          </cell>
        </row>
      </sheetData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>
        <row r="1">
          <cell r="B1">
            <v>0</v>
          </cell>
        </row>
      </sheetData>
      <sheetData sheetId="1047"/>
      <sheetData sheetId="1048"/>
      <sheetData sheetId="1049"/>
      <sheetData sheetId="1050"/>
      <sheetData sheetId="1051">
        <row r="1">
          <cell r="B1">
            <v>0</v>
          </cell>
        </row>
      </sheetData>
      <sheetData sheetId="1052" refreshError="1"/>
      <sheetData sheetId="1053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/>
      <sheetData sheetId="1063"/>
      <sheetData sheetId="1064" refreshError="1"/>
      <sheetData sheetId="1065">
        <row r="1">
          <cell r="B1">
            <v>0</v>
          </cell>
        </row>
      </sheetData>
      <sheetData sheetId="1066" refreshError="1"/>
      <sheetData sheetId="1067"/>
      <sheetData sheetId="1068" refreshError="1"/>
      <sheetData sheetId="1069" refreshError="1"/>
      <sheetData sheetId="1070">
        <row r="1">
          <cell r="B1">
            <v>0</v>
          </cell>
        </row>
      </sheetData>
      <sheetData sheetId="1071" refreshError="1"/>
      <sheetData sheetId="1072" refreshError="1"/>
      <sheetData sheetId="1073" refreshError="1"/>
      <sheetData sheetId="1074" refreshError="1"/>
      <sheetData sheetId="1075">
        <row r="1">
          <cell r="B1">
            <v>0</v>
          </cell>
        </row>
      </sheetData>
      <sheetData sheetId="1076">
        <row r="1">
          <cell r="B1">
            <v>0</v>
          </cell>
        </row>
      </sheetData>
      <sheetData sheetId="1077">
        <row r="1">
          <cell r="B1">
            <v>0</v>
          </cell>
        </row>
      </sheetData>
      <sheetData sheetId="1078">
        <row r="1">
          <cell r="B1">
            <v>0</v>
          </cell>
        </row>
      </sheetData>
      <sheetData sheetId="1079">
        <row r="1">
          <cell r="B1">
            <v>0</v>
          </cell>
        </row>
      </sheetData>
      <sheetData sheetId="1080">
        <row r="1">
          <cell r="B1">
            <v>0</v>
          </cell>
        </row>
      </sheetData>
      <sheetData sheetId="1081">
        <row r="1">
          <cell r="B1">
            <v>0</v>
          </cell>
        </row>
      </sheetData>
      <sheetData sheetId="1082">
        <row r="1">
          <cell r="B1">
            <v>0</v>
          </cell>
        </row>
      </sheetData>
      <sheetData sheetId="1083">
        <row r="1">
          <cell r="B1">
            <v>0</v>
          </cell>
        </row>
      </sheetData>
      <sheetData sheetId="1084">
        <row r="1">
          <cell r="B1">
            <v>0</v>
          </cell>
        </row>
      </sheetData>
      <sheetData sheetId="1085">
        <row r="1">
          <cell r="B1">
            <v>0</v>
          </cell>
        </row>
      </sheetData>
      <sheetData sheetId="1086">
        <row r="1">
          <cell r="B1">
            <v>0</v>
          </cell>
        </row>
      </sheetData>
      <sheetData sheetId="1087">
        <row r="1">
          <cell r="B1">
            <v>0</v>
          </cell>
        </row>
      </sheetData>
      <sheetData sheetId="1088">
        <row r="1">
          <cell r="B1">
            <v>0</v>
          </cell>
        </row>
      </sheetData>
      <sheetData sheetId="1089">
        <row r="1">
          <cell r="B1">
            <v>0</v>
          </cell>
        </row>
      </sheetData>
      <sheetData sheetId="1090">
        <row r="1">
          <cell r="B1">
            <v>0</v>
          </cell>
        </row>
      </sheetData>
      <sheetData sheetId="1091">
        <row r="1">
          <cell r="B1">
            <v>0</v>
          </cell>
        </row>
      </sheetData>
      <sheetData sheetId="1092">
        <row r="1">
          <cell r="B1">
            <v>0</v>
          </cell>
        </row>
      </sheetData>
      <sheetData sheetId="1093">
        <row r="1">
          <cell r="B1">
            <v>0</v>
          </cell>
        </row>
      </sheetData>
      <sheetData sheetId="1094">
        <row r="1">
          <cell r="B1">
            <v>0</v>
          </cell>
        </row>
      </sheetData>
      <sheetData sheetId="1095">
        <row r="1">
          <cell r="B1">
            <v>0</v>
          </cell>
        </row>
      </sheetData>
      <sheetData sheetId="1096">
        <row r="1">
          <cell r="B1">
            <v>0</v>
          </cell>
        </row>
      </sheetData>
      <sheetData sheetId="1097">
        <row r="1">
          <cell r="B1">
            <v>0</v>
          </cell>
        </row>
      </sheetData>
      <sheetData sheetId="1098">
        <row r="1">
          <cell r="B1">
            <v>0</v>
          </cell>
        </row>
      </sheetData>
      <sheetData sheetId="1099">
        <row r="1">
          <cell r="B1">
            <v>0</v>
          </cell>
        </row>
      </sheetData>
      <sheetData sheetId="1100">
        <row r="1">
          <cell r="B1">
            <v>0</v>
          </cell>
        </row>
      </sheetData>
      <sheetData sheetId="1101">
        <row r="1">
          <cell r="B1">
            <v>0</v>
          </cell>
        </row>
      </sheetData>
      <sheetData sheetId="1102">
        <row r="1">
          <cell r="B1">
            <v>0</v>
          </cell>
        </row>
      </sheetData>
      <sheetData sheetId="1103">
        <row r="1">
          <cell r="B1">
            <v>0</v>
          </cell>
        </row>
      </sheetData>
      <sheetData sheetId="1104">
        <row r="1">
          <cell r="B1">
            <v>0</v>
          </cell>
        </row>
      </sheetData>
      <sheetData sheetId="1105">
        <row r="1">
          <cell r="B1">
            <v>0</v>
          </cell>
        </row>
      </sheetData>
      <sheetData sheetId="1106">
        <row r="1">
          <cell r="B1">
            <v>0</v>
          </cell>
        </row>
      </sheetData>
      <sheetData sheetId="1107">
        <row r="1">
          <cell r="B1">
            <v>0</v>
          </cell>
        </row>
      </sheetData>
      <sheetData sheetId="1108">
        <row r="1">
          <cell r="B1">
            <v>0</v>
          </cell>
        </row>
      </sheetData>
      <sheetData sheetId="1109">
        <row r="1">
          <cell r="B1">
            <v>0</v>
          </cell>
        </row>
      </sheetData>
      <sheetData sheetId="1110">
        <row r="1">
          <cell r="B1">
            <v>0</v>
          </cell>
        </row>
      </sheetData>
      <sheetData sheetId="1111">
        <row r="1">
          <cell r="B1">
            <v>0</v>
          </cell>
        </row>
      </sheetData>
      <sheetData sheetId="1112">
        <row r="1">
          <cell r="B1">
            <v>0</v>
          </cell>
        </row>
      </sheetData>
      <sheetData sheetId="1113">
        <row r="1">
          <cell r="B1">
            <v>0</v>
          </cell>
        </row>
      </sheetData>
      <sheetData sheetId="1114">
        <row r="1">
          <cell r="B1">
            <v>0</v>
          </cell>
        </row>
      </sheetData>
      <sheetData sheetId="1115">
        <row r="1">
          <cell r="B1">
            <v>0</v>
          </cell>
        </row>
      </sheetData>
      <sheetData sheetId="1116">
        <row r="1">
          <cell r="B1">
            <v>0</v>
          </cell>
        </row>
      </sheetData>
      <sheetData sheetId="1117">
        <row r="1">
          <cell r="B1">
            <v>0</v>
          </cell>
        </row>
      </sheetData>
      <sheetData sheetId="1118">
        <row r="1">
          <cell r="B1">
            <v>0</v>
          </cell>
        </row>
      </sheetData>
      <sheetData sheetId="1119">
        <row r="1">
          <cell r="B1">
            <v>0</v>
          </cell>
        </row>
      </sheetData>
      <sheetData sheetId="1120">
        <row r="1">
          <cell r="B1">
            <v>0</v>
          </cell>
        </row>
      </sheetData>
      <sheetData sheetId="1121">
        <row r="1">
          <cell r="B1">
            <v>0</v>
          </cell>
        </row>
      </sheetData>
      <sheetData sheetId="1122">
        <row r="1">
          <cell r="B1">
            <v>0</v>
          </cell>
        </row>
      </sheetData>
      <sheetData sheetId="1123">
        <row r="1">
          <cell r="B1">
            <v>0</v>
          </cell>
        </row>
      </sheetData>
      <sheetData sheetId="1124">
        <row r="1">
          <cell r="B1">
            <v>0</v>
          </cell>
        </row>
      </sheetData>
      <sheetData sheetId="1125">
        <row r="1">
          <cell r="B1">
            <v>0</v>
          </cell>
        </row>
      </sheetData>
      <sheetData sheetId="1126">
        <row r="1">
          <cell r="B1">
            <v>0</v>
          </cell>
        </row>
      </sheetData>
      <sheetData sheetId="1127">
        <row r="1">
          <cell r="B1">
            <v>0</v>
          </cell>
        </row>
      </sheetData>
      <sheetData sheetId="1128">
        <row r="1">
          <cell r="B1">
            <v>0</v>
          </cell>
        </row>
      </sheetData>
      <sheetData sheetId="1129">
        <row r="1">
          <cell r="B1">
            <v>0</v>
          </cell>
        </row>
      </sheetData>
      <sheetData sheetId="1130">
        <row r="1">
          <cell r="B1">
            <v>0</v>
          </cell>
        </row>
      </sheetData>
      <sheetData sheetId="1131">
        <row r="1">
          <cell r="B1">
            <v>0</v>
          </cell>
        </row>
      </sheetData>
      <sheetData sheetId="1132">
        <row r="1">
          <cell r="B1">
            <v>0</v>
          </cell>
        </row>
      </sheetData>
      <sheetData sheetId="1133">
        <row r="1">
          <cell r="B1">
            <v>0</v>
          </cell>
        </row>
      </sheetData>
      <sheetData sheetId="1134">
        <row r="1">
          <cell r="B1">
            <v>0</v>
          </cell>
        </row>
      </sheetData>
      <sheetData sheetId="1135">
        <row r="1">
          <cell r="B1">
            <v>0</v>
          </cell>
        </row>
      </sheetData>
      <sheetData sheetId="1136">
        <row r="1">
          <cell r="B1">
            <v>0</v>
          </cell>
        </row>
      </sheetData>
      <sheetData sheetId="1137">
        <row r="1">
          <cell r="B1">
            <v>0</v>
          </cell>
        </row>
      </sheetData>
      <sheetData sheetId="1138">
        <row r="1">
          <cell r="B1">
            <v>0</v>
          </cell>
        </row>
      </sheetData>
      <sheetData sheetId="1139">
        <row r="1">
          <cell r="B1">
            <v>0</v>
          </cell>
        </row>
      </sheetData>
      <sheetData sheetId="1140">
        <row r="1">
          <cell r="B1">
            <v>0</v>
          </cell>
        </row>
      </sheetData>
      <sheetData sheetId="1141">
        <row r="1">
          <cell r="B1">
            <v>0</v>
          </cell>
        </row>
      </sheetData>
      <sheetData sheetId="1142">
        <row r="1">
          <cell r="B1">
            <v>0</v>
          </cell>
        </row>
      </sheetData>
      <sheetData sheetId="1143">
        <row r="1">
          <cell r="B1">
            <v>0</v>
          </cell>
        </row>
      </sheetData>
      <sheetData sheetId="1144">
        <row r="1">
          <cell r="B1">
            <v>0</v>
          </cell>
        </row>
      </sheetData>
      <sheetData sheetId="1145">
        <row r="1">
          <cell r="B1">
            <v>0</v>
          </cell>
        </row>
      </sheetData>
      <sheetData sheetId="1146">
        <row r="1">
          <cell r="B1">
            <v>0</v>
          </cell>
        </row>
      </sheetData>
      <sheetData sheetId="1147">
        <row r="1">
          <cell r="B1">
            <v>0</v>
          </cell>
        </row>
      </sheetData>
      <sheetData sheetId="1148">
        <row r="1">
          <cell r="B1">
            <v>0</v>
          </cell>
        </row>
      </sheetData>
      <sheetData sheetId="1149">
        <row r="1">
          <cell r="B1">
            <v>0</v>
          </cell>
        </row>
      </sheetData>
      <sheetData sheetId="1150">
        <row r="1">
          <cell r="B1">
            <v>0</v>
          </cell>
        </row>
      </sheetData>
      <sheetData sheetId="1151">
        <row r="1">
          <cell r="B1">
            <v>0</v>
          </cell>
        </row>
      </sheetData>
      <sheetData sheetId="1152">
        <row r="1">
          <cell r="B1">
            <v>0</v>
          </cell>
        </row>
      </sheetData>
      <sheetData sheetId="1153">
        <row r="1">
          <cell r="B1">
            <v>0</v>
          </cell>
        </row>
      </sheetData>
      <sheetData sheetId="1154">
        <row r="1">
          <cell r="B1">
            <v>0</v>
          </cell>
        </row>
      </sheetData>
      <sheetData sheetId="1155">
        <row r="1">
          <cell r="B1">
            <v>0</v>
          </cell>
        </row>
      </sheetData>
      <sheetData sheetId="1156">
        <row r="1">
          <cell r="B1">
            <v>0</v>
          </cell>
        </row>
      </sheetData>
      <sheetData sheetId="1157">
        <row r="1">
          <cell r="B1">
            <v>0</v>
          </cell>
        </row>
      </sheetData>
      <sheetData sheetId="1158">
        <row r="1">
          <cell r="B1">
            <v>0</v>
          </cell>
        </row>
      </sheetData>
      <sheetData sheetId="1159">
        <row r="1">
          <cell r="B1">
            <v>0</v>
          </cell>
        </row>
      </sheetData>
      <sheetData sheetId="1160">
        <row r="1">
          <cell r="B1">
            <v>0</v>
          </cell>
        </row>
      </sheetData>
      <sheetData sheetId="1161">
        <row r="1">
          <cell r="B1">
            <v>0</v>
          </cell>
        </row>
      </sheetData>
      <sheetData sheetId="1162">
        <row r="1">
          <cell r="B1">
            <v>0</v>
          </cell>
        </row>
      </sheetData>
      <sheetData sheetId="1163">
        <row r="1">
          <cell r="B1">
            <v>0</v>
          </cell>
        </row>
      </sheetData>
      <sheetData sheetId="1164">
        <row r="1">
          <cell r="B1">
            <v>0</v>
          </cell>
        </row>
      </sheetData>
      <sheetData sheetId="1165">
        <row r="1">
          <cell r="B1">
            <v>0</v>
          </cell>
        </row>
      </sheetData>
      <sheetData sheetId="1166">
        <row r="1">
          <cell r="B1">
            <v>0</v>
          </cell>
        </row>
      </sheetData>
      <sheetData sheetId="1167">
        <row r="1">
          <cell r="B1">
            <v>0</v>
          </cell>
        </row>
      </sheetData>
      <sheetData sheetId="1168">
        <row r="1">
          <cell r="B1">
            <v>0</v>
          </cell>
        </row>
      </sheetData>
      <sheetData sheetId="1169">
        <row r="1">
          <cell r="B1">
            <v>0</v>
          </cell>
        </row>
      </sheetData>
      <sheetData sheetId="1170">
        <row r="1">
          <cell r="B1">
            <v>0</v>
          </cell>
        </row>
      </sheetData>
      <sheetData sheetId="1171">
        <row r="1">
          <cell r="B1">
            <v>0</v>
          </cell>
        </row>
      </sheetData>
      <sheetData sheetId="1172">
        <row r="1">
          <cell r="B1">
            <v>0</v>
          </cell>
        </row>
      </sheetData>
      <sheetData sheetId="1173">
        <row r="1">
          <cell r="B1">
            <v>0</v>
          </cell>
        </row>
      </sheetData>
      <sheetData sheetId="1174">
        <row r="1">
          <cell r="B1">
            <v>0</v>
          </cell>
        </row>
      </sheetData>
      <sheetData sheetId="1175">
        <row r="1">
          <cell r="B1">
            <v>0</v>
          </cell>
        </row>
      </sheetData>
      <sheetData sheetId="1176">
        <row r="1">
          <cell r="B1">
            <v>0</v>
          </cell>
        </row>
      </sheetData>
      <sheetData sheetId="1177">
        <row r="1">
          <cell r="B1">
            <v>0</v>
          </cell>
        </row>
      </sheetData>
      <sheetData sheetId="1178">
        <row r="1">
          <cell r="B1">
            <v>0</v>
          </cell>
        </row>
      </sheetData>
      <sheetData sheetId="1179">
        <row r="1">
          <cell r="B1">
            <v>0</v>
          </cell>
        </row>
      </sheetData>
      <sheetData sheetId="1180">
        <row r="1">
          <cell r="B1">
            <v>0</v>
          </cell>
        </row>
      </sheetData>
      <sheetData sheetId="1181">
        <row r="1">
          <cell r="B1">
            <v>0</v>
          </cell>
        </row>
      </sheetData>
      <sheetData sheetId="1182">
        <row r="1">
          <cell r="B1">
            <v>0</v>
          </cell>
        </row>
      </sheetData>
      <sheetData sheetId="1183">
        <row r="1">
          <cell r="B1">
            <v>0</v>
          </cell>
        </row>
      </sheetData>
      <sheetData sheetId="1184">
        <row r="1">
          <cell r="B1">
            <v>0</v>
          </cell>
        </row>
      </sheetData>
      <sheetData sheetId="1185">
        <row r="1">
          <cell r="B1">
            <v>0</v>
          </cell>
        </row>
      </sheetData>
      <sheetData sheetId="1186">
        <row r="1">
          <cell r="B1">
            <v>0</v>
          </cell>
        </row>
      </sheetData>
      <sheetData sheetId="1187">
        <row r="1">
          <cell r="B1">
            <v>0</v>
          </cell>
        </row>
      </sheetData>
      <sheetData sheetId="1188">
        <row r="1">
          <cell r="B1">
            <v>0</v>
          </cell>
        </row>
      </sheetData>
      <sheetData sheetId="1189">
        <row r="1">
          <cell r="B1">
            <v>0</v>
          </cell>
        </row>
      </sheetData>
      <sheetData sheetId="1190">
        <row r="1">
          <cell r="B1">
            <v>0</v>
          </cell>
        </row>
      </sheetData>
      <sheetData sheetId="1191">
        <row r="1">
          <cell r="B1">
            <v>0</v>
          </cell>
        </row>
      </sheetData>
      <sheetData sheetId="1192">
        <row r="1">
          <cell r="B1">
            <v>0</v>
          </cell>
        </row>
      </sheetData>
      <sheetData sheetId="1193">
        <row r="1">
          <cell r="B1">
            <v>0</v>
          </cell>
        </row>
      </sheetData>
      <sheetData sheetId="1194">
        <row r="1">
          <cell r="B1">
            <v>0</v>
          </cell>
        </row>
      </sheetData>
      <sheetData sheetId="1195">
        <row r="1">
          <cell r="B1">
            <v>0</v>
          </cell>
        </row>
      </sheetData>
      <sheetData sheetId="1196">
        <row r="1">
          <cell r="B1">
            <v>0</v>
          </cell>
        </row>
      </sheetData>
      <sheetData sheetId="1197">
        <row r="1">
          <cell r="B1">
            <v>0</v>
          </cell>
        </row>
      </sheetData>
      <sheetData sheetId="1198">
        <row r="1">
          <cell r="B1">
            <v>0</v>
          </cell>
        </row>
      </sheetData>
      <sheetData sheetId="1199">
        <row r="1">
          <cell r="B1">
            <v>0</v>
          </cell>
        </row>
      </sheetData>
      <sheetData sheetId="1200">
        <row r="1">
          <cell r="B1">
            <v>0</v>
          </cell>
        </row>
      </sheetData>
      <sheetData sheetId="1201">
        <row r="1">
          <cell r="B1">
            <v>0</v>
          </cell>
        </row>
      </sheetData>
      <sheetData sheetId="1202">
        <row r="1">
          <cell r="B1">
            <v>0</v>
          </cell>
        </row>
      </sheetData>
      <sheetData sheetId="1203">
        <row r="1">
          <cell r="B1">
            <v>0</v>
          </cell>
        </row>
      </sheetData>
      <sheetData sheetId="1204">
        <row r="1">
          <cell r="B1">
            <v>0</v>
          </cell>
        </row>
      </sheetData>
      <sheetData sheetId="1205">
        <row r="1">
          <cell r="B1">
            <v>0</v>
          </cell>
        </row>
      </sheetData>
      <sheetData sheetId="1206">
        <row r="1">
          <cell r="B1">
            <v>0</v>
          </cell>
        </row>
      </sheetData>
      <sheetData sheetId="1207">
        <row r="1">
          <cell r="B1">
            <v>0</v>
          </cell>
        </row>
      </sheetData>
      <sheetData sheetId="1208">
        <row r="1">
          <cell r="B1">
            <v>0</v>
          </cell>
        </row>
      </sheetData>
      <sheetData sheetId="1209">
        <row r="1">
          <cell r="B1">
            <v>0</v>
          </cell>
        </row>
      </sheetData>
      <sheetData sheetId="1210">
        <row r="1">
          <cell r="B1">
            <v>0</v>
          </cell>
        </row>
      </sheetData>
      <sheetData sheetId="1211">
        <row r="1">
          <cell r="B1">
            <v>0</v>
          </cell>
        </row>
      </sheetData>
      <sheetData sheetId="1212">
        <row r="1">
          <cell r="B1">
            <v>0</v>
          </cell>
        </row>
      </sheetData>
      <sheetData sheetId="1213">
        <row r="1">
          <cell r="B1">
            <v>0</v>
          </cell>
        </row>
      </sheetData>
      <sheetData sheetId="1214">
        <row r="1">
          <cell r="B1">
            <v>0</v>
          </cell>
        </row>
      </sheetData>
      <sheetData sheetId="1215">
        <row r="1">
          <cell r="B1">
            <v>0</v>
          </cell>
        </row>
      </sheetData>
      <sheetData sheetId="1216">
        <row r="1">
          <cell r="B1">
            <v>0</v>
          </cell>
        </row>
      </sheetData>
      <sheetData sheetId="1217">
        <row r="1">
          <cell r="B1">
            <v>0</v>
          </cell>
        </row>
      </sheetData>
      <sheetData sheetId="1218">
        <row r="1">
          <cell r="B1">
            <v>0</v>
          </cell>
        </row>
      </sheetData>
      <sheetData sheetId="1219">
        <row r="1">
          <cell r="B1">
            <v>0</v>
          </cell>
        </row>
      </sheetData>
      <sheetData sheetId="1220">
        <row r="1">
          <cell r="B1">
            <v>0</v>
          </cell>
        </row>
      </sheetData>
      <sheetData sheetId="1221">
        <row r="1">
          <cell r="B1">
            <v>0</v>
          </cell>
        </row>
      </sheetData>
      <sheetData sheetId="1222">
        <row r="1">
          <cell r="B1">
            <v>0</v>
          </cell>
        </row>
      </sheetData>
      <sheetData sheetId="1223">
        <row r="1">
          <cell r="B1">
            <v>0</v>
          </cell>
        </row>
      </sheetData>
      <sheetData sheetId="1224">
        <row r="1">
          <cell r="B1">
            <v>0</v>
          </cell>
        </row>
      </sheetData>
      <sheetData sheetId="1225">
        <row r="1">
          <cell r="B1">
            <v>0</v>
          </cell>
        </row>
      </sheetData>
      <sheetData sheetId="1226">
        <row r="1">
          <cell r="B1">
            <v>0</v>
          </cell>
        </row>
      </sheetData>
      <sheetData sheetId="1227">
        <row r="1">
          <cell r="B1">
            <v>0</v>
          </cell>
        </row>
      </sheetData>
      <sheetData sheetId="1228">
        <row r="1">
          <cell r="B1">
            <v>0</v>
          </cell>
        </row>
      </sheetData>
      <sheetData sheetId="1229">
        <row r="1">
          <cell r="B1">
            <v>0</v>
          </cell>
        </row>
      </sheetData>
      <sheetData sheetId="1230">
        <row r="1">
          <cell r="B1">
            <v>0</v>
          </cell>
        </row>
      </sheetData>
      <sheetData sheetId="1231">
        <row r="1">
          <cell r="B1">
            <v>0</v>
          </cell>
        </row>
      </sheetData>
      <sheetData sheetId="1232">
        <row r="1">
          <cell r="B1">
            <v>0</v>
          </cell>
        </row>
      </sheetData>
      <sheetData sheetId="1233">
        <row r="1">
          <cell r="B1">
            <v>0</v>
          </cell>
        </row>
      </sheetData>
      <sheetData sheetId="1234" refreshError="1"/>
      <sheetData sheetId="1235" refreshError="1"/>
      <sheetData sheetId="1236" refreshError="1"/>
      <sheetData sheetId="1237" refreshError="1"/>
      <sheetData sheetId="1238">
        <row r="1">
          <cell r="B1">
            <v>0</v>
          </cell>
        </row>
      </sheetData>
      <sheetData sheetId="1239">
        <row r="1">
          <cell r="B1">
            <v>0</v>
          </cell>
        </row>
      </sheetData>
      <sheetData sheetId="1240">
        <row r="1">
          <cell r="B1">
            <v>0</v>
          </cell>
        </row>
      </sheetData>
      <sheetData sheetId="1241">
        <row r="1">
          <cell r="B1">
            <v>0</v>
          </cell>
        </row>
      </sheetData>
      <sheetData sheetId="1242">
        <row r="1">
          <cell r="B1">
            <v>0</v>
          </cell>
        </row>
      </sheetData>
      <sheetData sheetId="1243">
        <row r="1">
          <cell r="B1">
            <v>0</v>
          </cell>
        </row>
      </sheetData>
      <sheetData sheetId="1244">
        <row r="1">
          <cell r="B1">
            <v>0</v>
          </cell>
        </row>
      </sheetData>
      <sheetData sheetId="1245">
        <row r="1">
          <cell r="B1">
            <v>0</v>
          </cell>
        </row>
      </sheetData>
      <sheetData sheetId="1246">
        <row r="1">
          <cell r="B1">
            <v>0</v>
          </cell>
        </row>
      </sheetData>
      <sheetData sheetId="1247">
        <row r="1">
          <cell r="B1">
            <v>0</v>
          </cell>
        </row>
      </sheetData>
      <sheetData sheetId="1248">
        <row r="1">
          <cell r="B1">
            <v>0</v>
          </cell>
        </row>
      </sheetData>
      <sheetData sheetId="1249">
        <row r="1">
          <cell r="B1">
            <v>0</v>
          </cell>
        </row>
      </sheetData>
      <sheetData sheetId="1250">
        <row r="1">
          <cell r="B1">
            <v>0</v>
          </cell>
        </row>
      </sheetData>
      <sheetData sheetId="1251">
        <row r="1">
          <cell r="B1">
            <v>0</v>
          </cell>
        </row>
      </sheetData>
      <sheetData sheetId="1252">
        <row r="1">
          <cell r="B1">
            <v>0</v>
          </cell>
        </row>
      </sheetData>
      <sheetData sheetId="1253">
        <row r="1">
          <cell r="B1">
            <v>0</v>
          </cell>
        </row>
      </sheetData>
      <sheetData sheetId="1254">
        <row r="1">
          <cell r="B1">
            <v>0</v>
          </cell>
        </row>
      </sheetData>
      <sheetData sheetId="1255">
        <row r="1">
          <cell r="B1">
            <v>0</v>
          </cell>
        </row>
      </sheetData>
      <sheetData sheetId="1256">
        <row r="1">
          <cell r="B1">
            <v>0</v>
          </cell>
        </row>
      </sheetData>
      <sheetData sheetId="1257">
        <row r="1">
          <cell r="B1">
            <v>0</v>
          </cell>
        </row>
      </sheetData>
      <sheetData sheetId="1258">
        <row r="1">
          <cell r="B1">
            <v>0</v>
          </cell>
        </row>
      </sheetData>
      <sheetData sheetId="1259">
        <row r="1">
          <cell r="B1">
            <v>0</v>
          </cell>
        </row>
      </sheetData>
      <sheetData sheetId="1260">
        <row r="1">
          <cell r="B1">
            <v>0</v>
          </cell>
        </row>
      </sheetData>
      <sheetData sheetId="1261">
        <row r="1">
          <cell r="B1">
            <v>0</v>
          </cell>
        </row>
      </sheetData>
      <sheetData sheetId="1262">
        <row r="1">
          <cell r="B1">
            <v>0</v>
          </cell>
        </row>
      </sheetData>
      <sheetData sheetId="1263">
        <row r="1">
          <cell r="B1">
            <v>0</v>
          </cell>
        </row>
      </sheetData>
      <sheetData sheetId="1264">
        <row r="1">
          <cell r="B1">
            <v>0</v>
          </cell>
        </row>
      </sheetData>
      <sheetData sheetId="1265">
        <row r="1">
          <cell r="B1">
            <v>0</v>
          </cell>
        </row>
      </sheetData>
      <sheetData sheetId="1266">
        <row r="1">
          <cell r="B1">
            <v>0</v>
          </cell>
        </row>
      </sheetData>
      <sheetData sheetId="1267">
        <row r="1">
          <cell r="B1">
            <v>0</v>
          </cell>
        </row>
      </sheetData>
      <sheetData sheetId="1268">
        <row r="1">
          <cell r="B1">
            <v>0</v>
          </cell>
        </row>
      </sheetData>
      <sheetData sheetId="1269">
        <row r="1">
          <cell r="B1">
            <v>0</v>
          </cell>
        </row>
      </sheetData>
      <sheetData sheetId="1270">
        <row r="1">
          <cell r="B1">
            <v>0</v>
          </cell>
        </row>
      </sheetData>
      <sheetData sheetId="1271">
        <row r="1">
          <cell r="B1">
            <v>0</v>
          </cell>
        </row>
      </sheetData>
      <sheetData sheetId="1272">
        <row r="1">
          <cell r="B1">
            <v>0</v>
          </cell>
        </row>
      </sheetData>
      <sheetData sheetId="1273">
        <row r="1">
          <cell r="B1">
            <v>0</v>
          </cell>
        </row>
      </sheetData>
      <sheetData sheetId="1274">
        <row r="1">
          <cell r="B1">
            <v>0</v>
          </cell>
        </row>
      </sheetData>
      <sheetData sheetId="1275">
        <row r="1">
          <cell r="B1">
            <v>0</v>
          </cell>
        </row>
      </sheetData>
      <sheetData sheetId="1276">
        <row r="1">
          <cell r="B1">
            <v>0</v>
          </cell>
        </row>
      </sheetData>
      <sheetData sheetId="1277">
        <row r="1">
          <cell r="B1">
            <v>0</v>
          </cell>
        </row>
      </sheetData>
      <sheetData sheetId="1278">
        <row r="1">
          <cell r="B1">
            <v>0</v>
          </cell>
        </row>
      </sheetData>
      <sheetData sheetId="1279">
        <row r="1">
          <cell r="B1">
            <v>0</v>
          </cell>
        </row>
      </sheetData>
      <sheetData sheetId="1280">
        <row r="1">
          <cell r="B1">
            <v>0</v>
          </cell>
        </row>
      </sheetData>
      <sheetData sheetId="1281">
        <row r="1">
          <cell r="B1">
            <v>0</v>
          </cell>
        </row>
      </sheetData>
      <sheetData sheetId="1282">
        <row r="1">
          <cell r="B1">
            <v>0</v>
          </cell>
        </row>
      </sheetData>
      <sheetData sheetId="1283">
        <row r="1">
          <cell r="B1">
            <v>0</v>
          </cell>
        </row>
      </sheetData>
      <sheetData sheetId="1284">
        <row r="1">
          <cell r="B1">
            <v>0</v>
          </cell>
        </row>
      </sheetData>
      <sheetData sheetId="1285">
        <row r="1">
          <cell r="B1">
            <v>0</v>
          </cell>
        </row>
      </sheetData>
      <sheetData sheetId="1286">
        <row r="1">
          <cell r="B1">
            <v>0</v>
          </cell>
        </row>
      </sheetData>
      <sheetData sheetId="1287">
        <row r="1">
          <cell r="B1">
            <v>0</v>
          </cell>
        </row>
      </sheetData>
      <sheetData sheetId="1288">
        <row r="1">
          <cell r="B1">
            <v>0</v>
          </cell>
        </row>
      </sheetData>
      <sheetData sheetId="1289">
        <row r="1">
          <cell r="B1">
            <v>0</v>
          </cell>
        </row>
      </sheetData>
      <sheetData sheetId="1290">
        <row r="1">
          <cell r="B1">
            <v>0</v>
          </cell>
        </row>
      </sheetData>
      <sheetData sheetId="1291">
        <row r="1">
          <cell r="B1">
            <v>0</v>
          </cell>
        </row>
      </sheetData>
      <sheetData sheetId="1292">
        <row r="1">
          <cell r="B1">
            <v>0</v>
          </cell>
        </row>
      </sheetData>
      <sheetData sheetId="1293">
        <row r="1">
          <cell r="B1">
            <v>0</v>
          </cell>
        </row>
      </sheetData>
      <sheetData sheetId="1294">
        <row r="1">
          <cell r="B1">
            <v>0</v>
          </cell>
        </row>
      </sheetData>
      <sheetData sheetId="1295">
        <row r="1">
          <cell r="B1">
            <v>0</v>
          </cell>
        </row>
      </sheetData>
      <sheetData sheetId="1296">
        <row r="1">
          <cell r="B1">
            <v>0</v>
          </cell>
        </row>
      </sheetData>
      <sheetData sheetId="1297">
        <row r="1">
          <cell r="B1">
            <v>0</v>
          </cell>
        </row>
      </sheetData>
      <sheetData sheetId="1298">
        <row r="1">
          <cell r="B1">
            <v>0</v>
          </cell>
        </row>
      </sheetData>
      <sheetData sheetId="1299">
        <row r="1">
          <cell r="B1">
            <v>0</v>
          </cell>
        </row>
      </sheetData>
      <sheetData sheetId="1300">
        <row r="1">
          <cell r="B1">
            <v>0</v>
          </cell>
        </row>
      </sheetData>
      <sheetData sheetId="1301">
        <row r="1">
          <cell r="B1">
            <v>0</v>
          </cell>
        </row>
      </sheetData>
      <sheetData sheetId="1302">
        <row r="1">
          <cell r="B1">
            <v>0</v>
          </cell>
        </row>
      </sheetData>
      <sheetData sheetId="1303">
        <row r="1">
          <cell r="B1">
            <v>0</v>
          </cell>
        </row>
      </sheetData>
      <sheetData sheetId="1304">
        <row r="1">
          <cell r="B1">
            <v>0</v>
          </cell>
        </row>
      </sheetData>
      <sheetData sheetId="1305">
        <row r="1">
          <cell r="B1">
            <v>0</v>
          </cell>
        </row>
      </sheetData>
      <sheetData sheetId="1306">
        <row r="1">
          <cell r="B1">
            <v>0</v>
          </cell>
        </row>
      </sheetData>
      <sheetData sheetId="1307">
        <row r="1">
          <cell r="B1">
            <v>0</v>
          </cell>
        </row>
      </sheetData>
      <sheetData sheetId="1308">
        <row r="1">
          <cell r="B1">
            <v>0</v>
          </cell>
        </row>
      </sheetData>
      <sheetData sheetId="1309">
        <row r="1">
          <cell r="B1">
            <v>0</v>
          </cell>
        </row>
      </sheetData>
      <sheetData sheetId="1310">
        <row r="1">
          <cell r="B1">
            <v>0</v>
          </cell>
        </row>
      </sheetData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/>
      <sheetData sheetId="1394" refreshError="1"/>
      <sheetData sheetId="1395"/>
      <sheetData sheetId="1396"/>
      <sheetData sheetId="1397"/>
      <sheetData sheetId="1398"/>
      <sheetData sheetId="1399"/>
      <sheetData sheetId="1400"/>
      <sheetData sheetId="140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/>
      <sheetData sheetId="1464">
        <row r="1">
          <cell r="B1">
            <v>0</v>
          </cell>
        </row>
      </sheetData>
      <sheetData sheetId="1465"/>
      <sheetData sheetId="1466">
        <row r="1">
          <cell r="B1">
            <v>0</v>
          </cell>
        </row>
      </sheetData>
      <sheetData sheetId="1467"/>
      <sheetData sheetId="1468">
        <row r="1">
          <cell r="B1">
            <v>0</v>
          </cell>
        </row>
      </sheetData>
      <sheetData sheetId="1469"/>
      <sheetData sheetId="1470">
        <row r="1">
          <cell r="B1">
            <v>0</v>
          </cell>
        </row>
      </sheetData>
      <sheetData sheetId="1471"/>
      <sheetData sheetId="1472">
        <row r="1">
          <cell r="B1">
            <v>0</v>
          </cell>
        </row>
      </sheetData>
      <sheetData sheetId="1473"/>
      <sheetData sheetId="1474">
        <row r="1">
          <cell r="B1">
            <v>0</v>
          </cell>
        </row>
      </sheetData>
      <sheetData sheetId="1475"/>
      <sheetData sheetId="1476">
        <row r="1">
          <cell r="B1">
            <v>0</v>
          </cell>
        </row>
      </sheetData>
      <sheetData sheetId="1477"/>
      <sheetData sheetId="1478">
        <row r="1">
          <cell r="B1">
            <v>0</v>
          </cell>
        </row>
      </sheetData>
      <sheetData sheetId="1479" refreshError="1"/>
      <sheetData sheetId="1480" refreshError="1"/>
      <sheetData sheetId="1481">
        <row r="1">
          <cell r="B1">
            <v>0</v>
          </cell>
        </row>
      </sheetData>
      <sheetData sheetId="1482"/>
      <sheetData sheetId="1483">
        <row r="1">
          <cell r="B1">
            <v>0</v>
          </cell>
        </row>
      </sheetData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>
        <row r="1">
          <cell r="B1">
            <v>0</v>
          </cell>
        </row>
      </sheetData>
      <sheetData sheetId="1507">
        <row r="1">
          <cell r="B1">
            <v>0</v>
          </cell>
        </row>
      </sheetData>
      <sheetData sheetId="1508">
        <row r="1">
          <cell r="B1">
            <v>0</v>
          </cell>
        </row>
      </sheetData>
      <sheetData sheetId="1509">
        <row r="1">
          <cell r="B1">
            <v>0</v>
          </cell>
        </row>
      </sheetData>
      <sheetData sheetId="1510"/>
      <sheetData sheetId="1511">
        <row r="1">
          <cell r="B1">
            <v>0</v>
          </cell>
        </row>
      </sheetData>
      <sheetData sheetId="1512">
        <row r="1">
          <cell r="B1">
            <v>0</v>
          </cell>
        </row>
      </sheetData>
      <sheetData sheetId="1513">
        <row r="1">
          <cell r="B1">
            <v>0</v>
          </cell>
        </row>
      </sheetData>
      <sheetData sheetId="1514"/>
      <sheetData sheetId="1515">
        <row r="1">
          <cell r="B1">
            <v>0</v>
          </cell>
        </row>
      </sheetData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/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/>
      <sheetData sheetId="2009"/>
      <sheetData sheetId="2010"/>
      <sheetData sheetId="2011"/>
      <sheetData sheetId="2012"/>
      <sheetData sheetId="2013"/>
      <sheetData sheetId="20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вод_ИИР"/>
      <sheetName val="СметаСводная снег"/>
      <sheetName val="эл_химз_"/>
      <sheetName val="геология_"/>
      <sheetName val="Смета"/>
      <sheetName val="Табл38-7"/>
      <sheetName val="вариант"/>
      <sheetName val="Зап-3- СЦБ"/>
      <sheetName val="Лист1"/>
      <sheetName val="Обновление"/>
      <sheetName val="Цена"/>
      <sheetName val="Product"/>
      <sheetName val="топо"/>
      <sheetName val="Разработка проекта"/>
      <sheetName val="сводная"/>
      <sheetName val="См 1 наруж.водопровод"/>
      <sheetName val="График"/>
      <sheetName val="ПДР"/>
      <sheetName val="Смета 1"/>
      <sheetName val="Summary"/>
      <sheetName val="РП"/>
      <sheetName val="1"/>
      <sheetName val="сохранить"/>
      <sheetName val="Суточная"/>
      <sheetName val="5ОборРабМест(HP)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 2"/>
      <sheetName val="КП НовоКов"/>
      <sheetName val="sapactivexlhiddensheet"/>
      <sheetName val="Спецификация"/>
      <sheetName val="Шкаф"/>
      <sheetName val="Коэфф1."/>
      <sheetName val="Прайс лист"/>
      <sheetName val="Данные для расчёта сметы"/>
      <sheetName val="См_1_наруж_водопровод"/>
      <sheetName val="свод_2"/>
      <sheetName val="Разработка_проекта"/>
      <sheetName val="КП_НовоКов"/>
      <sheetName val="Счет-Фактура"/>
      <sheetName val="Переменные и константы"/>
      <sheetName val="СметаСводная 1 оч"/>
      <sheetName val="пятилетка"/>
      <sheetName val="мониторинг"/>
      <sheetName val="СМЕТА проект"/>
      <sheetName val="Данные_для_расчёта_сметы"/>
      <sheetName val="Коэфф1_"/>
      <sheetName val="Прайс_лист"/>
      <sheetName val="СметаСводная_1_оч"/>
      <sheetName val="Пример расчета"/>
      <sheetName val="свод (2)"/>
      <sheetName val="Калплан ОИ2 Макм крестики"/>
      <sheetName val="к.84-к.83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рилож"/>
      <sheetName val="см8"/>
      <sheetName val="DATA"/>
      <sheetName val="Нормы"/>
      <sheetName val="Текущие цены"/>
      <sheetName val="рабочий"/>
      <sheetName val="окраска"/>
      <sheetName val="все"/>
      <sheetName val="Кредиты"/>
      <sheetName val="СметаСводная Рыб"/>
      <sheetName val="отчет эл_эн  2000"/>
      <sheetName val="информация"/>
      <sheetName val="ПОДПИСИ"/>
      <sheetName val="13.1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Лист2"/>
      <sheetName val="КП (2)"/>
      <sheetName val="Бюджет"/>
      <sheetName val="Norm"/>
      <sheetName val="свод 3"/>
      <sheetName val="ID"/>
      <sheetName val="СС"/>
      <sheetName val="ЭХЗ"/>
      <sheetName val="РасчетКомандир1"/>
      <sheetName val="РасчетКомандир2"/>
      <sheetName val="Коэфф"/>
      <sheetName val="Смета2 проект. раб."/>
      <sheetName val="данные"/>
      <sheetName val="Баланс"/>
      <sheetName val="Смета2_проект__раб_"/>
      <sheetName val="Смета_1"/>
      <sheetName val="Production and Spend"/>
      <sheetName val="OCK1"/>
      <sheetName val="1.3"/>
      <sheetName val="ИГ1"/>
      <sheetName val="К.рын"/>
      <sheetName val="Сводная смета"/>
      <sheetName val="Землеотвод"/>
      <sheetName val="шаблон"/>
      <sheetName val="СметаСводная павильон"/>
      <sheetName val="93-110"/>
      <sheetName val="Св. смета"/>
      <sheetName val="РБС ИЗМ1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2002(v2)"/>
      <sheetName val="справ."/>
      <sheetName val="справ_"/>
      <sheetName val="2002_v2_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Смета терзем"/>
      <sheetName val="1155"/>
      <sheetName val="HP_и_оргтехника"/>
      <sheetName val="СМЕТА_проект"/>
      <sheetName val="Лист_опроса"/>
      <sheetName val="13_1"/>
      <sheetName val="выборка на22 июня"/>
      <sheetName val="свод_3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6.11 новый"/>
      <sheetName val="Opex personnel (Term facs)"/>
      <sheetName val="кп"/>
      <sheetName val="матер."/>
      <sheetName val="КП Прим (3)"/>
      <sheetName val="Lucent"/>
      <sheetName val="ИД СМР"/>
      <sheetName val="Пояснение "/>
      <sheetName val="3.1"/>
      <sheetName val="Коммерческие расходы"/>
      <sheetName val="смета 2 проект. работы"/>
      <sheetName val="Хар_"/>
      <sheetName val="С1_"/>
      <sheetName val="СтрЗапасов (2)"/>
      <sheetName val="НМ расчеты"/>
      <sheetName val="СС замеч с ответами"/>
      <sheetName val="начало"/>
      <sheetName val="Main"/>
      <sheetName val="УП _2004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Константы и результаты"/>
      <sheetName val="Лизинг"/>
      <sheetName val="расчет №3"/>
      <sheetName val="в работу"/>
      <sheetName val="1ПС"/>
      <sheetName val="20_Кредиты краткосрочные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Лист3"/>
      <sheetName val="АЧ"/>
      <sheetName val="Общая часть"/>
      <sheetName val="Табл.5"/>
      <sheetName val="Табл.2"/>
      <sheetName val="Исх.данные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2.2 "/>
      <sheetName val="Расчет курса"/>
      <sheetName val="XLR_NoRangeSheet"/>
      <sheetName val="НЕДЕЛИ"/>
      <sheetName val="GD"/>
      <sheetName val="Баланс (Ф1)"/>
      <sheetName val="Перечень Заказчиков"/>
      <sheetName val="СП"/>
      <sheetName val="Капитальные затраты"/>
      <sheetName val="трансформация1"/>
      <sheetName val="Destination"/>
      <sheetName val="breakdown"/>
      <sheetName val="EKDEB90"/>
      <sheetName val="Коэф КВ"/>
      <sheetName val="кп (3)"/>
      <sheetName val=""/>
      <sheetName val="К"/>
      <sheetName val="Кал.план Жукова даты - не надо"/>
      <sheetName val="фонтан разбитый2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15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Source lists"/>
      <sheetName val="Восстановл_Лист37"/>
      <sheetName val="Смета № 1 ИИ линия"/>
      <sheetName val="Дополнительные параметры"/>
      <sheetName val="Leistungsakt"/>
      <sheetName val="Свод объем"/>
      <sheetName val="Дог цена"/>
      <sheetName val="SakhNIPI5"/>
      <sheetName val="ПИР"/>
      <sheetName val="3труба (П)"/>
      <sheetName val="Объемы работ по ПВ"/>
      <sheetName val="16"/>
      <sheetName val="Таблица 5"/>
      <sheetName val="Таблица 3"/>
      <sheetName val="1.401.2"/>
      <sheetName val="PO Data"/>
      <sheetName val="Rub"/>
      <sheetName val="ПД"/>
      <sheetName val="РСС_АУ"/>
      <sheetName val="Раб.АУ"/>
      <sheetName val="Коэф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Сметы за сопровождение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BACT"/>
      <sheetName val="АСУ-линия-1"/>
      <sheetName val="ТЗ АСУ-1"/>
      <sheetName val="2-stage"/>
      <sheetName val="лч и кам"/>
      <sheetName val="Бл.электр."/>
      <sheetName val="2 Геология"/>
      <sheetName val="Объем работ"/>
      <sheetName val="MararashAA"/>
      <sheetName val="ПРОЦЕНТЫ"/>
      <sheetName val="Виды работ АСО"/>
      <sheetName val="таблица_руко_x0019__x0015__x0009__x0003__x000c__x0011__x0011_"/>
      <sheetName val="Норм"/>
      <sheetName val="ФОТ для смет"/>
      <sheetName val="ЛС_РЕС"/>
      <sheetName val="Общ"/>
      <sheetName val="_x0000__x0000_"/>
      <sheetName val="Форма 2.1"/>
      <sheetName val="БД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/>
      <sheetData sheetId="1">
        <row r="1">
          <cell r="B1" t="str">
            <v>Сейсморазведка МОВ-ОГТ на одном типе волн</v>
          </cell>
        </row>
        <row r="6">
          <cell r="B6" t="str">
            <v>с 24-х канальной сейсмостанцией 1 кат.</v>
          </cell>
        </row>
        <row r="7">
          <cell r="B7" t="str">
            <v>с 24-х канальной сейсмостанцией 2 кат.</v>
          </cell>
        </row>
        <row r="8">
          <cell r="B8" t="str">
            <v>с 24-х канальной сейсмостанцией 3 кат.</v>
          </cell>
        </row>
        <row r="9">
          <cell r="B9" t="str">
            <v>с 24-х канальной сейсмостанцией 4 кат.</v>
          </cell>
        </row>
        <row r="10">
          <cell r="B10" t="str">
            <v>с 48-и канальной сейсмостанцией 1 кат.</v>
          </cell>
        </row>
        <row r="11">
          <cell r="B11" t="str">
            <v>с 48-и канальной сейсмостанцией 2 кат.</v>
          </cell>
        </row>
        <row r="12">
          <cell r="B12" t="str">
            <v>с 48-и канальной сейсмостанцией 3 кат.</v>
          </cell>
        </row>
        <row r="13">
          <cell r="B13" t="str">
            <v>с 48-и канальной сейсмостанцией 4 кат.</v>
          </cell>
        </row>
        <row r="16">
          <cell r="B16" t="str">
            <v>работа с 48-60 канальной станцией</v>
          </cell>
        </row>
        <row r="17">
          <cell r="B17" t="str">
            <v>работа с 2-я комп. вектора смещения</v>
          </cell>
        </row>
        <row r="18">
          <cell r="B18" t="str">
            <v>работа с промежуточной записью</v>
          </cell>
        </row>
        <row r="19">
          <cell r="B19" t="str">
            <v>работа с разборной установкой</v>
          </cell>
        </row>
        <row r="20">
          <cell r="B20" t="str">
            <v>снеговой покров более 50см</v>
          </cell>
        </row>
        <row r="21">
          <cell r="B21" t="str">
            <v>снеговой покров более 100см</v>
          </cell>
        </row>
        <row r="22">
          <cell r="B22" t="str">
            <v>работа в условиях помех</v>
          </cell>
        </row>
        <row r="23">
          <cell r="B23" t="str">
            <v>перенос оборудования до 200м</v>
          </cell>
        </row>
        <row r="24">
          <cell r="B24" t="str">
            <v>перенос оборудования более 200м</v>
          </cell>
        </row>
        <row r="25">
          <cell r="B25" t="str">
            <v>работа на территории со спец.режимом</v>
          </cell>
        </row>
        <row r="26">
          <cell r="B26" t="str">
            <v>работа в неблагоприятный период (4-5.5 мес.)</v>
          </cell>
        </row>
        <row r="27">
          <cell r="B27" t="str">
            <v>работа в неблагоприятный период (6-7.5 мес.)</v>
          </cell>
        </row>
        <row r="28">
          <cell r="B28" t="str">
            <v>горный район 1500-1700м</v>
          </cell>
        </row>
        <row r="29">
          <cell r="B29" t="str">
            <v>горный район 1700-2000м</v>
          </cell>
        </row>
        <row r="30">
          <cell r="B30" t="str">
            <v>горный район 2000-3000м</v>
          </cell>
        </row>
        <row r="31">
          <cell r="B31" t="str">
            <v>горный район &gt;3000м</v>
          </cell>
        </row>
        <row r="34">
          <cell r="B34" t="str">
            <v>АВ 100-250м симметр. 4-х электрод. устан. 1кат.</v>
          </cell>
        </row>
        <row r="35">
          <cell r="B35" t="str">
            <v>АВ 100-250м симметр. 4-х электрод. устан. 2кат.</v>
          </cell>
        </row>
        <row r="36">
          <cell r="B36" t="str">
            <v>АВ 100-250м симметр. 4-х электрод. устан. 3кат.</v>
          </cell>
        </row>
        <row r="37">
          <cell r="B37" t="str">
            <v>АВ 100-250м симметр. 4-х электрод. устан. 4кат.</v>
          </cell>
        </row>
        <row r="38">
          <cell r="B38" t="str">
            <v>АВ 250-500м симметр. 4-х электрод. устан. 1кат.</v>
          </cell>
        </row>
        <row r="39">
          <cell r="B39" t="str">
            <v>АВ 250-500м симметр. 4-х электрод. устан. 2кат.</v>
          </cell>
        </row>
        <row r="40">
          <cell r="B40" t="str">
            <v>АВ 250-500м симметр. 4-х электрод. устан. 3кат.</v>
          </cell>
        </row>
        <row r="41">
          <cell r="B41" t="str">
            <v>АВ 250-500м симметр. 4-х электрод. устан. 4кат.</v>
          </cell>
        </row>
        <row r="42">
          <cell r="B42" t="str">
            <v>АО 100-250м 3-х электрод. устан. 1кат.</v>
          </cell>
        </row>
        <row r="43">
          <cell r="B43" t="str">
            <v>АО 100-250м 3-х электрод. устан. 2кат.</v>
          </cell>
        </row>
        <row r="44">
          <cell r="B44" t="str">
            <v>АО 100-250м 3-х электрод. устан. 3кат.</v>
          </cell>
        </row>
        <row r="45">
          <cell r="B45" t="str">
            <v>АО 100-250м 3-х электрод. устан. 4кат.</v>
          </cell>
        </row>
        <row r="46">
          <cell r="B46" t="str">
            <v>АО 50-100м 3-х электрод. устан. 1кат.</v>
          </cell>
        </row>
        <row r="47">
          <cell r="B47" t="str">
            <v>АО 50-100м 3-х электрод. устан. 2кат.</v>
          </cell>
        </row>
        <row r="48">
          <cell r="B48" t="str">
            <v>АО 50-100м 3-х электрод. устан. 3кат.</v>
          </cell>
        </row>
        <row r="49">
          <cell r="B49" t="str">
            <v>АО 50-100м 3-х электрод. устан. 4кат.</v>
          </cell>
        </row>
        <row r="51">
          <cell r="B51" t="str">
            <v>за условия заземления</v>
          </cell>
        </row>
        <row r="52">
          <cell r="B52" t="str">
            <v>работа в сухих породах с подливом воды</v>
          </cell>
        </row>
        <row r="53">
          <cell r="B53" t="str">
            <v>разность потенциалов до 0.3 мВ</v>
          </cell>
        </row>
        <row r="54">
          <cell r="B54" t="str">
            <v>работа в мерзлой породе 2кат.</v>
          </cell>
        </row>
        <row r="55">
          <cell r="B55" t="str">
            <v>работа в мерзлой породе 3кат.</v>
          </cell>
        </row>
        <row r="56">
          <cell r="B56" t="str">
            <v>работа в мерзлой породе 4кат.</v>
          </cell>
        </row>
        <row r="57">
          <cell r="B57" t="str">
            <v>расстояния между точками от 1 до 2 АВ</v>
          </cell>
        </row>
        <row r="58">
          <cell r="B58" t="str">
            <v>расстояния между точками от 2 до 5 АВ</v>
          </cell>
        </row>
        <row r="59">
          <cell r="B59" t="str">
            <v>расстояния между точками больше 5 АВ</v>
          </cell>
        </row>
        <row r="60">
          <cell r="B60" t="str">
            <v>КВЭЗ 2 азимута</v>
          </cell>
        </row>
        <row r="61">
          <cell r="B61" t="str">
            <v>КВЭЗ 3 азимута</v>
          </cell>
        </row>
        <row r="62">
          <cell r="B62" t="str">
            <v>КВЭЗ 4 азимута</v>
          </cell>
        </row>
        <row r="63">
          <cell r="B63" t="str">
            <v>КВЭЗ 6 азимутов</v>
          </cell>
        </row>
        <row r="64">
          <cell r="B64" t="str">
            <v>снеговой покров более 50см</v>
          </cell>
        </row>
        <row r="65">
          <cell r="B65" t="str">
            <v>снеговой покров более 100см</v>
          </cell>
        </row>
        <row r="66">
          <cell r="B66" t="str">
            <v>работа в условиях помех</v>
          </cell>
        </row>
        <row r="67">
          <cell r="B67" t="str">
            <v>перенос оборудования до 200м</v>
          </cell>
        </row>
        <row r="68">
          <cell r="B68" t="str">
            <v>перенос оборудования более 200м</v>
          </cell>
        </row>
        <row r="69">
          <cell r="B69" t="str">
            <v>работа на территории со спец.режимом</v>
          </cell>
        </row>
        <row r="70">
          <cell r="B70" t="str">
            <v>работа в неблагоприятный период (4-5.5 мес.)</v>
          </cell>
        </row>
        <row r="71">
          <cell r="B71" t="str">
            <v>работа в неблагоприятный период (6-7.5 мес.)</v>
          </cell>
        </row>
        <row r="72">
          <cell r="B72" t="str">
            <v>горный район 1500-1700м</v>
          </cell>
        </row>
        <row r="73">
          <cell r="B73" t="str">
            <v>горный район 1700-2000м</v>
          </cell>
        </row>
        <row r="74">
          <cell r="B74" t="str">
            <v>горный район 2000-3000м</v>
          </cell>
        </row>
        <row r="75">
          <cell r="B75" t="str">
            <v>горный район &gt;3000м</v>
          </cell>
        </row>
        <row r="99">
          <cell r="B99" t="str">
            <v>расстояние между точками измерения 200-500м.</v>
          </cell>
        </row>
        <row r="100">
          <cell r="B100" t="str">
            <v>расстояние между точками измерения 500-1000м.</v>
          </cell>
        </row>
        <row r="102">
          <cell r="B102" t="str">
            <v>наблюдений при расстоянии 100-200 м., 1кат.</v>
          </cell>
        </row>
        <row r="103">
          <cell r="B103" t="str">
            <v>наблюдений при расстоянии 100-200 м., 2кат.</v>
          </cell>
        </row>
        <row r="104">
          <cell r="B104" t="str">
            <v>наблюдений при расстоянии 100-200 м., 3кат.</v>
          </cell>
        </row>
        <row r="105">
          <cell r="B105" t="str">
            <v>наблюдений при расстоянии 100-200 м., 4кат.</v>
          </cell>
        </row>
        <row r="106">
          <cell r="B106" t="str">
            <v>наблюдений при расстоянии 200-350 м., 1кат.</v>
          </cell>
        </row>
        <row r="107">
          <cell r="B107" t="str">
            <v>наблюдений при расстоянии 200-350 м., 2кат.</v>
          </cell>
        </row>
        <row r="108">
          <cell r="B108" t="str">
            <v>наблюдений при расстоянии 200-350 м., 3кат.</v>
          </cell>
        </row>
        <row r="109">
          <cell r="B109" t="str">
            <v>наблюдений при расстоянии 200-350 м., 4кат.</v>
          </cell>
        </row>
        <row r="110">
          <cell r="B110" t="str">
            <v>только высотная</v>
          </cell>
        </row>
        <row r="111">
          <cell r="B111" t="str">
            <v xml:space="preserve">только плановая </v>
          </cell>
        </row>
        <row r="121">
          <cell r="B121" t="str">
            <v>поправочный коэффициент</v>
          </cell>
        </row>
        <row r="122">
          <cell r="B122" t="str">
            <v>при двух типах волн</v>
          </cell>
        </row>
        <row r="123">
          <cell r="B123" t="str">
            <v>при одном типе волн</v>
          </cell>
        </row>
        <row r="124">
          <cell r="B124" t="str">
            <v>при работе с 48-канальной станцией</v>
          </cell>
        </row>
        <row r="125">
          <cell r="B125" t="str">
            <v>при спец.расчетах на ЭВМ</v>
          </cell>
        </row>
        <row r="127">
          <cell r="B127" t="str">
            <v>Расстояние от базы до участка изысканий 10-15км</v>
          </cell>
        </row>
        <row r="128">
          <cell r="B128" t="str">
            <v>Расстояние от базы до участка изысканий 15-20км</v>
          </cell>
        </row>
        <row r="129">
          <cell r="B129" t="str">
            <v>Расстояние от базы до участка изысканий 20-25км</v>
          </cell>
        </row>
        <row r="130">
          <cell r="B130" t="str">
            <v>Расстояние от базы до участка изысканий 5-10км</v>
          </cell>
        </row>
        <row r="131">
          <cell r="B131" t="str">
            <v>Расстояние от базы до участка изысканий до 5км</v>
          </cell>
        </row>
        <row r="166">
          <cell r="B166" t="str">
            <v>Расстояние проезда и перевозки 1000-2000км</v>
          </cell>
        </row>
        <row r="167">
          <cell r="B167" t="str">
            <v>Расстояние проезда и перевозки 100-300км</v>
          </cell>
        </row>
        <row r="168">
          <cell r="B168" t="str">
            <v>Расстояние проезда и перевозки 2000-4000км</v>
          </cell>
        </row>
        <row r="169">
          <cell r="B169" t="str">
            <v>Расстояние проезда и перевозки 25-100км</v>
          </cell>
        </row>
        <row r="170">
          <cell r="B170" t="str">
            <v>Расстояние проезда и перевозки 300-500км</v>
          </cell>
        </row>
        <row r="171">
          <cell r="B171" t="str">
            <v>Расстояние проезда и перевозки 500-1000км</v>
          </cell>
        </row>
        <row r="172">
          <cell r="B172" t="str">
            <v>Расстояние проезда и перевозки более 4000км</v>
          </cell>
        </row>
        <row r="174">
          <cell r="B174" t="str">
            <v>при продолжительности изысканий до 1мес.</v>
          </cell>
        </row>
        <row r="175">
          <cell r="B175" t="str">
            <v>при продолжительности изысканий до 2мес.</v>
          </cell>
        </row>
        <row r="176">
          <cell r="B176" t="str">
            <v>при продолжительности изысканий до 3мес.</v>
          </cell>
        </row>
        <row r="177">
          <cell r="B177" t="str">
            <v>при продолжительности изысканий до 6мес.</v>
          </cell>
        </row>
        <row r="208">
          <cell r="B208" t="str">
            <v xml:space="preserve">экспедиций </v>
          </cell>
        </row>
        <row r="209">
          <cell r="B209" t="str">
            <v>экспедиций  - 1.15</v>
          </cell>
        </row>
        <row r="210">
          <cell r="B210" t="str">
            <v>экспедиций  - 1.2</v>
          </cell>
        </row>
        <row r="211">
          <cell r="B211" t="str">
            <v>экспедиций  - 1.3</v>
          </cell>
        </row>
        <row r="212">
          <cell r="B212" t="str">
            <v>экспедиций  - 1.4</v>
          </cell>
        </row>
        <row r="213">
          <cell r="B213" t="str">
            <v>экспедиций  - 1.5</v>
          </cell>
        </row>
        <row r="214">
          <cell r="B214" t="str">
            <v>экспедиций  - 1.6</v>
          </cell>
        </row>
        <row r="215">
          <cell r="B215" t="str">
            <v>экспедиций  - 1.7</v>
          </cell>
        </row>
        <row r="216">
          <cell r="B216" t="str">
            <v>экспедиций  - 1.8</v>
          </cell>
        </row>
        <row r="217">
          <cell r="B217" t="str">
            <v>экспедиций  - 1.9</v>
          </cell>
        </row>
        <row r="218">
          <cell r="B218" t="str">
            <v>экспедиций  - 2</v>
          </cell>
        </row>
        <row r="219">
          <cell r="B219" t="str">
            <v>экспедиций - 1.1</v>
          </cell>
        </row>
        <row r="221">
          <cell r="B221" t="str">
            <v>-</v>
          </cell>
        </row>
        <row r="222">
          <cell r="B222" t="str">
            <v>Иркутской области, Красноярского края и Д. Востока</v>
          </cell>
        </row>
        <row r="223">
          <cell r="B223" t="str">
            <v>Крайнего Севера</v>
          </cell>
        </row>
        <row r="224">
          <cell r="B224" t="str">
            <v>месностях, приравненных к районам Крайнего Севера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>
        <row r="14">
          <cell r="B14" t="str">
            <v>работа с 48-60 канальной станцией</v>
          </cell>
        </row>
      </sheetData>
      <sheetData sheetId="1">
        <row r="6">
          <cell r="B6" t="str">
            <v>с 24-х канальной сейсмостанцией 1 кат.</v>
          </cell>
        </row>
        <row r="78">
          <cell r="B78" t="str">
            <v>"бесконечность". 1000м. 1 кат.</v>
          </cell>
        </row>
        <row r="79">
          <cell r="B79" t="str">
            <v>"бесконечность". 1000м. 2 кат.</v>
          </cell>
        </row>
        <row r="80">
          <cell r="B80" t="str">
            <v>"бесконечность". 1000м. 3 кат.</v>
          </cell>
        </row>
        <row r="81">
          <cell r="B81" t="str">
            <v>"бесконечность". 1000м. 4 кат.</v>
          </cell>
        </row>
        <row r="82">
          <cell r="B82" t="str">
            <v>"бесконечность". 500м. 1 кат.</v>
          </cell>
        </row>
        <row r="83">
          <cell r="B83" t="str">
            <v>"бесконечность". 500м. 2 кат.</v>
          </cell>
        </row>
        <row r="84">
          <cell r="B84" t="str">
            <v>"бесконечность". 500м. 3 кат.</v>
          </cell>
        </row>
        <row r="85">
          <cell r="B85" t="str">
            <v>"бесконечность". 500м. 4 кат.</v>
          </cell>
        </row>
        <row r="94">
          <cell r="B94" t="str">
            <v>по схеме AA'MNB'B 1кат.</v>
          </cell>
        </row>
        <row r="95">
          <cell r="B95" t="str">
            <v>по схеме AA'MNB'B 2кат.</v>
          </cell>
        </row>
        <row r="96">
          <cell r="B96" t="str">
            <v>по схеме AA'MNB'B 3кат.</v>
          </cell>
        </row>
        <row r="97">
          <cell r="B97" t="str">
            <v>по схеме AA'MNB'B 4кат.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мета"/>
      <sheetName val="СметаСводная снег"/>
      <sheetName val="Дополнительные параметры"/>
      <sheetName val="топо"/>
      <sheetName val="свод"/>
      <sheetName val="Лист2"/>
      <sheetName val="93-110"/>
      <sheetName val="Лист опроса"/>
      <sheetName val="к.84-к.83"/>
      <sheetName val="Шкаф"/>
      <sheetName val="Коэфф1."/>
      <sheetName val="Прайс лист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см8"/>
      <sheetName val="Данные для расчёта сметы"/>
      <sheetName val="Зап-3- СЦБ"/>
      <sheetName val="СМЕТА проект"/>
      <sheetName val="ТИТУЛ"/>
      <sheetName val="6.14"/>
      <sheetName val="ОБЩЕСТВА"/>
      <sheetName val="6.3.1"/>
      <sheetName val="6.20"/>
      <sheetName val="6.4.1"/>
      <sheetName val="ПРОГНОЗ_1"/>
      <sheetName val="Лист1"/>
      <sheetName val="6_11_1  сторонние"/>
      <sheetName val="установки"/>
      <sheetName val="8.14 КР (списание)ОПСТИКР"/>
      <sheetName val="Стр1"/>
      <sheetName val="Список"/>
      <sheetName val="эл_химз_"/>
      <sheetName val="геология_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рилож"/>
      <sheetName val="ПДР"/>
      <sheetName val="DATA"/>
      <sheetName val="вариант"/>
      <sheetName val="Обновление"/>
      <sheetName val="Цена"/>
      <sheetName val="Product"/>
      <sheetName val="Summary"/>
      <sheetName val="Пример расчета"/>
      <sheetName val="свод 2"/>
      <sheetName val="Табл38-7"/>
      <sheetName val="все"/>
      <sheetName val="информация"/>
      <sheetName val="Кредиты"/>
      <sheetName val="СметаСводная Рыб"/>
      <sheetName val="Нормы"/>
      <sheetName val="13.1"/>
      <sheetName val="Текущие цены"/>
      <sheetName val="рабочий"/>
      <sheetName val="окраска"/>
      <sheetName val="отчет эл_эн  2000"/>
      <sheetName val="Счет-Фактура"/>
      <sheetName val="График"/>
      <sheetName val="2002(v2)"/>
      <sheetName val="справ."/>
      <sheetName val="справ_"/>
      <sheetName val="2002_v2_"/>
      <sheetName val="эл_химз_1"/>
      <sheetName val="геология_1"/>
      <sheetName val="СметаСводная_снег"/>
      <sheetName val="Лист_опроса"/>
      <sheetName val="к_84-к_83"/>
      <sheetName val="Коэфф1_"/>
      <sheetName val="Прайс_лист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Данные_для_расчёта_сметы"/>
      <sheetName val="Зап-3-_СЦБ"/>
      <sheetName val="СМЕТА_проект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Пример_расчета"/>
      <sheetName val="свод_2"/>
      <sheetName val="СметаСводная_Рыб"/>
      <sheetName val="13_1"/>
      <sheetName val="Текущие_цены"/>
      <sheetName val="отчет_эл_эн__2000"/>
      <sheetName val="справ_1"/>
      <sheetName val="Дополнительные_параметры"/>
      <sheetName val="ПОДПИСИ"/>
      <sheetName val="РАСЧЕТ"/>
      <sheetName val="КП (2)"/>
      <sheetName val="Бюджет"/>
      <sheetName val="Norm"/>
      <sheetName val="6.3"/>
      <sheetName val="6.7"/>
      <sheetName val="6.3.1.3"/>
      <sheetName val="К.рын"/>
      <sheetName val="Сводная смета"/>
      <sheetName val="sapactivexlhiddensheet"/>
      <sheetName val="свод 3"/>
      <sheetName val="ID"/>
      <sheetName val="СС"/>
      <sheetName val="Opex personnel (Term facs)"/>
      <sheetName val="ЭХЗ"/>
      <sheetName val="РасчетКомандир1"/>
      <sheetName val="РасчетКомандир2"/>
      <sheetName val="Коэфф"/>
      <sheetName val="Смета2 проект. раб."/>
      <sheetName val="Суточная"/>
      <sheetName val="Смета 1"/>
      <sheetName val="РП"/>
      <sheetName val="данные"/>
      <sheetName val="Баланс"/>
      <sheetName val="Смета2_проект__раб_"/>
      <sheetName val="Смета_1"/>
      <sheetName val="Production and Spend"/>
      <sheetName val="OCK1"/>
      <sheetName val="1.3"/>
      <sheetName val="ИГ1"/>
      <sheetName val="Землеотвод"/>
      <sheetName val="шаблон"/>
      <sheetName val="См 1 наруж.водопровод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ная"/>
      <sheetName val="Разработка проекта"/>
      <sheetName val="КП НовоКов"/>
      <sheetName val="СметаСводная 1 оч"/>
      <sheetName val="См_1_наруж_водопровод"/>
      <sheetName val="Разработка_проекта"/>
      <sheetName val="КП_НовоКов"/>
      <sheetName val="СметаСводная_1_оч"/>
      <sheetName val="Переменные и константы"/>
      <sheetName val="пятилетка"/>
      <sheetName val="мониторинг"/>
      <sheetName val="свод (2)"/>
      <sheetName val="Калплан ОИ2 Макм крестики"/>
      <sheetName val="СметаСводная павильон"/>
      <sheetName val="Св. смета"/>
      <sheetName val="РБС ИЗМ1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сохранить"/>
      <sheetName val="5ОборРабМест(HP)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6.11 новый"/>
      <sheetName val="Капитальные затраты"/>
      <sheetName val="накладная"/>
      <sheetName val="Акт"/>
      <sheetName val="1"/>
      <sheetName val="Пояснение "/>
      <sheetName val="3.1"/>
      <sheetName val="Коммерческие расходы"/>
      <sheetName val="RSOILBAL"/>
      <sheetName val="смета 2 проект. работы"/>
      <sheetName val="4сд"/>
      <sheetName val="2сд"/>
      <sheetName val="7сд"/>
      <sheetName val="MAIN_PARAMETERS"/>
      <sheetName val="СС замеч с ответами"/>
      <sheetName val="начало"/>
      <sheetName val="Main"/>
      <sheetName val="УП _2004"/>
      <sheetName val="в работу"/>
      <sheetName val="1ПС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Спецификация"/>
      <sheetName val="Константы и результаты"/>
      <sheetName val="Лизинг"/>
      <sheetName val="расчет №3"/>
      <sheetName val="20_Кредиты краткосрочные"/>
      <sheetName val="Перечень Заказчиков"/>
      <sheetName val="2.2 "/>
      <sheetName val="Хар_"/>
      <sheetName val="С1_"/>
      <sheetName val="СтрЗапасов (2)"/>
      <sheetName val="Lim"/>
      <sheetName val="Справочник"/>
      <sheetName val="PwC Copies from old models --&gt;&gt;"/>
      <sheetName val="Справочники"/>
      <sheetName val="Journals"/>
      <sheetName val="ц_1991"/>
      <sheetName val="rvldmrv"/>
      <sheetName val="Сравнение ДПН факт 06-07"/>
      <sheetName val="Параметры"/>
      <sheetName val="трансформация1"/>
      <sheetName val="НМ расчеты"/>
      <sheetName val="Names"/>
      <sheetName val="breakdown"/>
      <sheetName val="Destination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НГХК"/>
      <sheetName val="КП к снег Рыбинская"/>
      <sheetName val="EKDEB90"/>
      <sheetName val="Коэф КВ"/>
      <sheetName val="К"/>
      <sheetName val="Смета терзем"/>
      <sheetName val="Кал.план Жукова даты - не надо"/>
      <sheetName val="кп"/>
      <sheetName val="матер."/>
      <sheetName val="КП Прим (3)"/>
      <sheetName val="Лист3"/>
      <sheetName val="АЧ"/>
      <sheetName val="кп (3)"/>
      <sheetName val="СП"/>
      <sheetName val="фонтан разбитый2"/>
      <sheetName val="Баланс (Ф1)"/>
      <sheetName val="Смета-Т"/>
      <sheetName val=""/>
      <sheetName val="Смета 3 Гидролог"/>
      <sheetName val="Записка СЦБ"/>
      <sheetName val="ИПЦ2002-2004"/>
      <sheetName val="РС 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1.401.2"/>
      <sheetName val="Rub"/>
      <sheetName val="Общая часть"/>
      <sheetName val="Табл.5"/>
      <sheetName val="свод_ИИР"/>
      <sheetName val="1155"/>
      <sheetName val="HP_и_оргтехника"/>
      <sheetName val="выборка на22 июня"/>
      <sheetName val="свод_3"/>
      <sheetName val="ОПС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Lucent"/>
      <sheetName val="ИД СМР"/>
      <sheetName val="Табл.2"/>
      <sheetName val="Исх.данные"/>
      <sheetName val="ВКЕ"/>
      <sheetName val="Additives"/>
      <sheetName val="Ryazan"/>
      <sheetName val="Assumpt"/>
      <sheetName val="Control"/>
      <sheetName val="См №3 ОПР"/>
      <sheetName val="см.№6 АВЗУ и ГПЗУ"/>
      <sheetName val="Геофизика"/>
      <sheetName val="Геодезия"/>
      <sheetName val="Экология1"/>
      <sheetName val="АУП"/>
      <sheetName val="CENTR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Расчет курса"/>
      <sheetName val="XLR_NoRangeSheet"/>
      <sheetName val="НЕДЕЛИ"/>
      <sheetName val="GD"/>
      <sheetName val="геолог"/>
      <sheetName val="Курс доллара"/>
      <sheetName val="Календарь новый"/>
      <sheetName val="15"/>
      <sheetName val="Source lists"/>
      <sheetName val="Восстановл_Лист37"/>
      <sheetName val="Смета № 1 ИИ линия"/>
      <sheetName val="Leistungsakt"/>
      <sheetName val="Свод объем"/>
      <sheetName val="Дог цена"/>
      <sheetName val="SakhNIPI5"/>
      <sheetName val="ПИР"/>
      <sheetName val="3труба (П)"/>
      <sheetName val="Объемы работ по ПВ"/>
      <sheetName val="16"/>
      <sheetName val="Таблица 5"/>
      <sheetName val="Таблица 3"/>
      <sheetName val="PO Data"/>
      <sheetName val="ПД"/>
      <sheetName val="РСС_АУ"/>
      <sheetName val="Раб.АУ"/>
      <sheetName val="Коэф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ная "/>
      <sheetName val="7.ТХ Сети (кор)"/>
      <sheetName val="Tier 311208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Прибыль_опл"/>
      <sheetName val="Амур_ДОН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Акт выбора"/>
      <sheetName val="См.№7 Эл."/>
      <sheetName val="См.№8 Пож."/>
      <sheetName val="См.№3 ВиК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№1"/>
      <sheetName val="Сметы за сопровождение"/>
      <sheetName val="ПС_x0000__x0000__x0000__x0000__x0000__x0000_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СМ_x000b__x0011__x0012__x000c__x0011__x0011__x0011__x0011__x0011__x0011_"/>
      <sheetName val="ᄀᄀᄀᄀᄀᄀᄀᄀᄀᄀᄀᄀᄀᄀᄀᄀᄀ"/>
      <sheetName val="См.3_АСУ"/>
      <sheetName val="Полигон - ИЭИ "/>
      <sheetName val="Ком"/>
      <sheetName val="Смета ТЗ АСУ-16"/>
      <sheetName val="База Геодезия"/>
      <sheetName val="База Геология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BACT"/>
      <sheetName val="АСУ-линия-1"/>
      <sheetName val="ТЗ АСУ-1"/>
      <sheetName val="2-stage"/>
      <sheetName val="лч и кам"/>
      <sheetName val="Бл.электр."/>
      <sheetName val="2 Геология"/>
      <sheetName val="Объем работ"/>
      <sheetName val="MararashAA"/>
      <sheetName val="ПРОЦЕНТЫ"/>
      <sheetName val="Виды работ АСО"/>
      <sheetName val="таблица_руко_x0019__x0015__x0009__x0003__x000c__x0011__x0011_"/>
      <sheetName val="Норм"/>
      <sheetName val="ФОТ для смет"/>
      <sheetName val="ЛС_РЕС"/>
      <sheetName val="Общ"/>
      <sheetName val="_x0000__x0000_"/>
      <sheetName val="таблица_руко_x0019__x0015_ _x0003__x000c__x0011__x0011_"/>
      <sheetName val="КБК ДПК"/>
      <sheetName val="СМ"/>
      <sheetName val="СМИС"/>
      <sheetName val="Main list"/>
      <sheetName val="ПД-2.2"/>
      <sheetName val="6"/>
      <sheetName val="1.14"/>
      <sheetName val="1.7"/>
      <sheetName val="#ССЫЛКА"/>
      <sheetName val="Вспом."/>
      <sheetName val="УКП"/>
      <sheetName val="БД"/>
      <sheetName val="Лист4"/>
      <sheetName val="Общий"/>
      <sheetName val="ТабР"/>
      <sheetName val="ЕТС (ф)"/>
      <sheetName val="база"/>
      <sheetName val="3_гидромет"/>
      <sheetName val="эл_химз_3"/>
      <sheetName val="13_11"/>
      <sheetName val="КП_(2)1"/>
      <sheetName val="свод_31"/>
      <sheetName val="СМЕТА_проект1"/>
      <sheetName val="1_31"/>
      <sheetName val="К_рын1"/>
      <sheetName val="Сводная_смета1"/>
      <sheetName val="Переменные_и_константы1"/>
      <sheetName val="СметаСводная_павильон1"/>
      <sheetName val="СметаСводная_снег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Opex_personnel_(Term_facs)1"/>
      <sheetName val="Капитальные_затраты1"/>
      <sheetName val="Пояснение_"/>
      <sheetName val="3_11"/>
      <sheetName val="Коммерческие_расходы1"/>
      <sheetName val="смета_2_проект__работы"/>
      <sheetName val="СС_замеч_с_ответами1"/>
      <sheetName val="УП__20041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РС_"/>
      <sheetName val="Баланс_(Ф1)"/>
      <sheetName val="Смета_3_Гидролог"/>
      <sheetName val="Записка_СЦБ"/>
      <sheetName val="Раб_АУ"/>
      <sheetName val="Source_lists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ПС"/>
      <sheetName val="ДДС_(Форма_№3)"/>
      <sheetName val="Курс_доллара"/>
      <sheetName val="Календарь_новый"/>
      <sheetName val="Смета_№_1_ИИ_линия"/>
      <sheetName val="Свод_объем"/>
      <sheetName val="Дог_цена"/>
      <sheetName val="выборка_на22_июня"/>
      <sheetName val="3труба_(П)"/>
      <sheetName val="Объемы_работ_по_ПВ"/>
      <sheetName val="Таблица_5"/>
      <sheetName val="Таблица_3"/>
      <sheetName val="1_401_2"/>
      <sheetName val="PO_Data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геология_3"/>
      <sheetName val="6_143"/>
      <sheetName val="6_3_13"/>
      <sheetName val="6_203"/>
      <sheetName val="6_4_13"/>
      <sheetName val="6_11_1__сторонние3"/>
      <sheetName val="8_14_КР_(списание)ОПСТИКР3"/>
      <sheetName val="Данные_для_расчёта_сметы2"/>
      <sheetName val="6_14_КР2"/>
      <sheetName val="Пример_расчета2"/>
      <sheetName val="свод_22"/>
      <sheetName val="Зап-3-_СЦБ2"/>
      <sheetName val="СметаСводная_Рыб2"/>
      <sheetName val="Текущие_цены2"/>
      <sheetName val="отчет_эл_эн__20002"/>
      <sheetName val="к_84-к_832"/>
      <sheetName val="Коэфф1_2"/>
      <sheetName val="6_31"/>
      <sheetName val="6_71"/>
      <sheetName val="6_3_1_31"/>
      <sheetName val="Смета2_проект__раб_2"/>
      <sheetName val="Смета_12"/>
      <sheetName val="Production_and_Spend1"/>
      <sheetName val="Прайс_лист2"/>
      <sheetName val="См_1_наруж_водопровод2"/>
      <sheetName val="Разработка_проекта2"/>
      <sheetName val="КП_НовоКов2"/>
      <sheetName val="СметаСводная_1_оч2"/>
      <sheetName val="свод_(2)1"/>
      <sheetName val="Калплан_ОИ2_Макм_крестики1"/>
      <sheetName val="Св__смета1"/>
      <sheetName val="РБС_ИЗМ11"/>
      <sheetName val="Таблица_21"/>
      <sheetName val="ст_ГТМ1"/>
      <sheetName val="кп_ГК1"/>
      <sheetName val="Справочные_данные1"/>
      <sheetName val="суб_подряд2"/>
      <sheetName val="ПСБ_-_ОЭ2"/>
      <sheetName val="смета_СИД1"/>
      <sheetName val="ресурсная_вед_1"/>
      <sheetName val="КП_к_ГК1"/>
      <sheetName val="изыскания_21"/>
      <sheetName val="Калплан_Кра1"/>
      <sheetName val="6_11_новый1"/>
      <sheetName val="См_3_АСУ"/>
      <sheetName val="Полигон_-_ИЭИ_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Исх1"/>
      <sheetName val="8"/>
      <sheetName val="basa"/>
      <sheetName val="СВ 2"/>
      <sheetName val="1.2_"/>
      <sheetName val="Base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кап.ремонт"/>
      <sheetName val="Обор"/>
      <sheetName val="пофакторный"/>
      <sheetName val="РАСШИФ_ЦЕХ_РАСХ"/>
      <sheetName val="топ"/>
      <sheetName val="анализ 2003_2004исполнение МТО"/>
      <sheetName val="Дог_рас"/>
      <sheetName val="Ограничения шаблон"/>
      <sheetName val="Лист"/>
      <sheetName val="Исх"/>
      <sheetName val="исх-данные"/>
      <sheetName val="Исх."/>
      <sheetName val="ИД ПНР"/>
      <sheetName val="Технический лист"/>
      <sheetName val="Причины отклонений"/>
      <sheetName val="Статус работы"/>
      <sheetName val="Уровень графика"/>
      <sheetName val="Тестовый"/>
      <sheetName val="Panduit"/>
      <sheetName val="Приложение 2"/>
      <sheetName val=" Свод"/>
      <sheetName val="Пра"/>
      <sheetName val="исключ ЭХЗ"/>
      <sheetName val="БДР"/>
      <sheetName val="геол"/>
      <sheetName val="аванс по ОС"/>
      <sheetName val="Авансы выданные"/>
      <sheetName val="Кред"/>
      <sheetName val="ДЗ"/>
      <sheetName val="Кред. задолж."/>
      <sheetName val="Прочие"/>
      <sheetName val="Сводный"/>
      <sheetName val="ГАЗ_камаз"/>
      <sheetName val="41"/>
      <sheetName val="Договорная цена"/>
      <sheetName val="Имя"/>
      <sheetName val="№2Гидромет."/>
      <sheetName val="№2Геолог"/>
      <sheetName val="№2Геолог с.п."/>
      <sheetName val="№3Экологи (2этап)"/>
      <sheetName val="Исходная"/>
      <sheetName val="Должности"/>
      <sheetName val="3 Сл.-структура затрат"/>
      <sheetName val="const"/>
      <sheetName val="расчеты"/>
      <sheetName val="ПС 110 кВ (доп)"/>
      <sheetName val="ПД-2.1"/>
      <sheetName val="Пра_x0000_с_лист"/>
      <sheetName val="Смета 7"/>
      <sheetName val="Бл_электр_"/>
      <sheetName val="Прил.5 СС"/>
      <sheetName val="расчет вязкости"/>
      <sheetName val="Сравнение с Finder - ДНС-5"/>
      <sheetName val="Исх. данные"/>
      <sheetName val="эл_химз_4"/>
      <sheetName val="13_12"/>
      <sheetName val="КП_(2)2"/>
      <sheetName val="свод_32"/>
      <sheetName val="СМЕТА_проект2"/>
      <sheetName val="1_32"/>
      <sheetName val="К_рын2"/>
      <sheetName val="Сводная_смета2"/>
      <sheetName val="Переменные_и_константы2"/>
      <sheetName val="СметаСводная_павильон2"/>
      <sheetName val="СметаСводная_снег2"/>
      <sheetName val="Лист_опроса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Смета_1свод2"/>
      <sheetName val="таблица_руководству2"/>
      <sheetName val="Суточная_добыча_за_неделю2"/>
      <sheetName val="Прибыль_опл2"/>
      <sheetName val="№5_СУБ_Инж_защ2"/>
      <sheetName val="HP_и_оргтехника2"/>
      <sheetName val="Таблица_4_АСУТП2"/>
      <sheetName val="ПДР_ООО_&quot;Юкос_ФБЦ&quot;2"/>
      <sheetName val="исходные_данные2"/>
      <sheetName val="расчетные_таблицы2"/>
      <sheetName val="Амур_ДОН2"/>
      <sheetName val="Б_Сатка2"/>
      <sheetName val="справ_3"/>
      <sheetName val="Перечень_ИУ2"/>
      <sheetName val="3_1_ТХ2"/>
      <sheetName val="СметаСводная_Колпино2"/>
      <sheetName val="3_52"/>
      <sheetName val="Смета_22"/>
      <sheetName val="Ачинский_НПЗ2"/>
      <sheetName val="См3_СЦБ-зап2"/>
      <sheetName val="Хаттон_90_90_Femco2"/>
      <sheetName val="свод_общ2"/>
      <sheetName val="Смета_5_2__Кусты25,29,31,652"/>
      <sheetName val="р_Волхов2"/>
      <sheetName val="Opex_personnel_(Term_facs)2"/>
      <sheetName val="Капитальные_затраты2"/>
      <sheetName val="Пояснение_1"/>
      <sheetName val="3_12"/>
      <sheetName val="Коммерческие_расходы2"/>
      <sheetName val="смета_2_проект__работы1"/>
      <sheetName val="СС_замеч_с_ответами2"/>
      <sheetName val="УП__20042"/>
      <sheetName val="в_работу2"/>
      <sheetName val="3_22"/>
      <sheetName val="3_32"/>
      <sheetName val="Р2_12"/>
      <sheetName val="Р2_22"/>
      <sheetName val="Удельные(проф_)2"/>
      <sheetName val="Константы_и_результаты2"/>
      <sheetName val="расчет_№32"/>
      <sheetName val="20_Кредиты_краткосрочные2"/>
      <sheetName val="Перечень_Заказчиков2"/>
      <sheetName val="2_2_2"/>
      <sheetName val="СтрЗапасов_(2)1"/>
      <sheetName val="PwC_Copies_from_old_models_--&gt;1"/>
      <sheetName val="Сравнение_ДПН_факт_06-071"/>
      <sheetName val="НМ_расчеты1"/>
      <sheetName val="КП_к_снег_Рыбинская2"/>
      <sheetName val="Коэф_КВ1"/>
      <sheetName val="Смета_терзем1"/>
      <sheetName val="Кал_план_Жукова_даты_-_не_надо1"/>
      <sheetName val="матер_1"/>
      <sheetName val="КП_Прим_(3)1"/>
      <sheetName val="кп_(3)1"/>
      <sheetName val="фонтан_разбитый21"/>
      <sheetName val="Баланс_(Ф1)1"/>
      <sheetName val="Смета_3_Гидролог1"/>
      <sheetName val="Записка_СЦБ1"/>
      <sheetName val="РС_1"/>
      <sheetName val="Раб_АУ1"/>
      <sheetName val="Source_lists1"/>
      <sheetName val="Общая_часть1"/>
      <sheetName val="Табл_52"/>
      <sheetName val="Табл_22"/>
      <sheetName val="См_№3_ОПР1"/>
      <sheetName val="см_№6_АВЗУ_и_ГПЗУ1"/>
      <sheetName val="Input_Assumptions1"/>
      <sheetName val="см_№1_1_Геодезические_работы_1"/>
      <sheetName val="см_№1_4_Экология_1"/>
      <sheetName val="АСУ_ТП_1_этап_ПД1"/>
      <sheetName val="Расчет_курса1"/>
      <sheetName val="ДДС_(Форма_№3)1"/>
      <sheetName val="Курс_доллара1"/>
      <sheetName val="Календарь_новый1"/>
      <sheetName val="Смета_№_1_ИИ_линия1"/>
      <sheetName val="Дополнительные_параметры1"/>
      <sheetName val="Свод_объем1"/>
      <sheetName val="Дог_цена1"/>
      <sheetName val="выборка_на22_июня1"/>
      <sheetName val="3труба_(П)1"/>
      <sheetName val="Объемы_работ_по_ПВ1"/>
      <sheetName val="Таблица_51"/>
      <sheetName val="Таблица_31"/>
      <sheetName val="1_401_21"/>
      <sheetName val="PO_Data1"/>
      <sheetName val="р_Нева2"/>
      <sheetName val="р_Молога2"/>
      <sheetName val="18_рек_Ю-Х2"/>
      <sheetName val="нпс_Палкино2"/>
      <sheetName val="Россия_-_Китай2"/>
      <sheetName val="КМ_210-2382"/>
      <sheetName val="БТС-2_км_405-4592"/>
      <sheetName val="БТС-2_км_405-4532"/>
      <sheetName val="БТС-2_км_313-3522"/>
      <sheetName val="БТС-2_км326-3522"/>
      <sheetName val="Улейма_И2"/>
      <sheetName val="Белая_УБКА2"/>
      <sheetName val="км_72-75р_Левоннька2"/>
      <sheetName val="киенгоп-н_Челны_км_104-2062"/>
      <sheetName val="ВЛ_Урдома2"/>
      <sheetName val="Вл_Микунь_Урдома2"/>
      <sheetName val="ВЛ_Синдор-Микунь2"/>
      <sheetName val="Тон_Чермасан2"/>
      <sheetName val="Трасса_км_16-1472"/>
      <sheetName val="трасса_0-762"/>
      <sheetName val="Колва_782"/>
      <sheetName val="Гидрология__р_Колва_км_382"/>
      <sheetName val="ПСП_2"/>
      <sheetName val="Новая_сводка_(до_бюджета)_(2)3"/>
      <sheetName val="Что_пришло3"/>
      <sheetName val="влад-таблица_(2)3"/>
      <sheetName val="Новая_сводка_(до_бюджета)3"/>
      <sheetName val="Новая_сводка3"/>
      <sheetName val="Общие_расходы3"/>
      <sheetName val="Новая_сводка_(по_бюджету)3"/>
      <sheetName val="Íîâàÿ_ñâîäêà_(äî_áþäæåòà)_(2)3"/>
      <sheetName val="×òî_ïðèøëî3"/>
      <sheetName val="âëàä-òàáëèöà_(2)3"/>
      <sheetName val="Íîâàÿ_ñâîäêà_(äî_áþäæåòà)3"/>
      <sheetName val="Íîâàÿ_ñâîäêà3"/>
      <sheetName val="Îáùèå_ðàñõîäû3"/>
      <sheetName val="Íîâàÿ_ñâîäêà_(ïî_áþäæåòó)3"/>
      <sheetName val="6_10_13"/>
      <sheetName val="6_7_3_ТН3"/>
      <sheetName val="6_13"/>
      <sheetName val="6_52-свод2"/>
      <sheetName val="Сводная_1"/>
      <sheetName val="7_ТХ_Сети_(кор)1"/>
      <sheetName val="Tier_3112081"/>
      <sheetName val="Акт_выбора1"/>
      <sheetName val="См_№7_Эл_1"/>
      <sheetName val="См_№8_Пож_1"/>
      <sheetName val="См_№3_ВиК1"/>
      <sheetName val="Сметы_за_сопровождение1"/>
      <sheetName val="ЕТС_(ф)"/>
      <sheetName val="Форма 2.1"/>
      <sheetName val="W28"/>
      <sheetName val="См_2 Шатурс сети  проект работы"/>
      <sheetName val="автоматизация РД"/>
      <sheetName val="РабПр"/>
      <sheetName val="Акт-Смета_30"/>
      <sheetName val="Смета 2 эл.монтаж"/>
      <sheetName val="Смета 1 общестроит"/>
      <sheetName val="ДЦ"/>
      <sheetName val=" Оборудование  end"/>
      <sheetName val="сводная (2)"/>
      <sheetName val="Акт выполненных работ 46"/>
      <sheetName val="SMW_Служебная"/>
      <sheetName val="Промер глуб"/>
      <sheetName val="SENSITIVITY"/>
      <sheetName val="Расчет №1.1"/>
      <sheetName val="Расчет №2.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/>
      <sheetData sheetId="1050"/>
      <sheetData sheetId="105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/>
      <sheetData sheetId="1063" refreshError="1"/>
      <sheetData sheetId="1064" refreshError="1"/>
      <sheetData sheetId="1065"/>
      <sheetData sheetId="1066"/>
      <sheetData sheetId="1067"/>
      <sheetData sheetId="1068" refreshError="1"/>
      <sheetData sheetId="1069" refreshError="1"/>
      <sheetData sheetId="1070" refreshError="1"/>
      <sheetData sheetId="1071">
        <row r="1">
          <cell r="B1">
            <v>0</v>
          </cell>
        </row>
      </sheetData>
      <sheetData sheetId="1072" refreshError="1"/>
      <sheetData sheetId="1073" refreshError="1"/>
      <sheetData sheetId="1074" refreshError="1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1">
          <cell r="B1">
            <v>0</v>
          </cell>
        </row>
      </sheetData>
      <sheetData sheetId="1088"/>
      <sheetData sheetId="1089">
        <row r="1">
          <cell r="B1">
            <v>0</v>
          </cell>
        </row>
      </sheetData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Курс доллара"/>
      <sheetName val="Лист3"/>
      <sheetName val="Данные для расчёта сметы"/>
      <sheetName val="топография"/>
      <sheetName val="Курс_доллара"/>
      <sheetName val="ПО 1-7"/>
      <sheetName val="СметаСводная"/>
      <sheetName val="Коэфф1."/>
      <sheetName val="ставки"/>
      <sheetName val="Лист7"/>
      <sheetName val="свод 2"/>
      <sheetName val="Смета"/>
      <sheetName val="СметаСводная Колпино"/>
      <sheetName val="Смета-Т"/>
      <sheetName val="ps198"/>
      <sheetName val="ОПС"/>
      <sheetName val="Дог цена"/>
      <sheetName val="Курс $"/>
      <sheetName val="к-ты"/>
      <sheetName val="Сводный СР"/>
      <sheetName val="ИМЯ"/>
      <sheetName val="Имя2"/>
      <sheetName val="консолидация"/>
      <sheetName val="счет-фактура"/>
      <sheetName val="Сводная смета"/>
      <sheetName val="выборка на22 июня"/>
      <sheetName val="ид смр"/>
      <sheetName val="Курс_доллара1"/>
      <sheetName val="Данные_для_расчёта_сметы"/>
      <sheetName val="Коэфф1_"/>
      <sheetName val="ПО_1-7"/>
      <sheetName val="свод_2"/>
      <sheetName val="СметаСводная_Колпино"/>
      <sheetName val="Дог_цена"/>
      <sheetName val="Курс_$"/>
      <sheetName val="Сводный_СР"/>
      <sheetName val="Справка"/>
      <sheetName val="Новый справочник БДР"/>
      <sheetName val="Курсы"/>
      <sheetName val="Payments 2006"/>
      <sheetName val="выборка_на22_июня"/>
      <sheetName val="DATA"/>
      <sheetName val="ЛЧ Р"/>
      <sheetName val="СметаСводная Рыб"/>
      <sheetName val="хар_"/>
      <sheetName val="с1_"/>
      <sheetName val="выборка заказчик"/>
      <sheetName val="спр1"/>
      <sheetName val="ИД"/>
      <sheetName val="спецификация"/>
      <sheetName val="Общ"/>
      <sheetName val="шаблон"/>
      <sheetName val="смета проект"/>
      <sheetName val="терм.обез"/>
      <sheetName val="химреаг."/>
      <sheetName val="12"/>
      <sheetName val="оборуд_1"/>
      <sheetName val="Расчет_ССР"/>
      <sheetName val="(свод)"/>
      <sheetName val="D"/>
      <sheetName val="Списки"/>
      <sheetName val="Ресурсы"/>
      <sheetName val="Объекты"/>
      <sheetName val="исх-данные"/>
    </sheetNames>
    <sheetDataSet>
      <sheetData sheetId="0">
        <row r="2">
          <cell r="A2">
            <v>25</v>
          </cell>
        </row>
      </sheetData>
      <sheetData sheetId="1" refreshError="1">
        <row r="2">
          <cell r="A2">
            <v>25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2">
          <cell r="A2">
            <v>25</v>
          </cell>
        </row>
      </sheetData>
      <sheetData sheetId="29">
        <row r="2">
          <cell r="A2">
            <v>25</v>
          </cell>
        </row>
      </sheetData>
      <sheetData sheetId="30">
        <row r="2">
          <cell r="A2">
            <v>25</v>
          </cell>
        </row>
      </sheetData>
      <sheetData sheetId="31">
        <row r="2">
          <cell r="A2">
            <v>25</v>
          </cell>
        </row>
      </sheetData>
      <sheetData sheetId="32">
        <row r="2">
          <cell r="A2">
            <v>25</v>
          </cell>
        </row>
      </sheetData>
      <sheetData sheetId="33">
        <row r="2">
          <cell r="A2">
            <v>25</v>
          </cell>
        </row>
      </sheetData>
      <sheetData sheetId="34">
        <row r="2">
          <cell r="A2">
            <v>25</v>
          </cell>
        </row>
      </sheetData>
      <sheetData sheetId="35">
        <row r="2">
          <cell r="A2">
            <v>25</v>
          </cell>
        </row>
      </sheetData>
      <sheetData sheetId="36">
        <row r="2">
          <cell r="A2">
            <v>25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>
        <row r="2">
          <cell r="A2">
            <v>25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пография"/>
      <sheetName val="геология"/>
      <sheetName val="гидрология"/>
      <sheetName val="эл.химз."/>
      <sheetName val="геология "/>
      <sheetName val="СметаСводная снег"/>
      <sheetName val="эл_химз_"/>
      <sheetName val="геология_"/>
      <sheetName val="Смета"/>
      <sheetName val="Табл38-7"/>
      <sheetName val="вариант"/>
      <sheetName val="Зап-3- СЦБ"/>
      <sheetName val="Лист1"/>
      <sheetName val="Обновление"/>
      <sheetName val="Цена"/>
      <sheetName val="Product"/>
      <sheetName val="топо"/>
      <sheetName val="Разработка проекта"/>
      <sheetName val="сводная"/>
      <sheetName val="См 1 наруж.водопровод"/>
      <sheetName val="График"/>
      <sheetName val="ПДР"/>
      <sheetName val="Смета 1"/>
      <sheetName val="Summary"/>
      <sheetName val="РП"/>
      <sheetName val="1"/>
      <sheetName val="сохранить"/>
      <sheetName val="Суточная"/>
      <sheetName val="5ОборРабМест(HP)"/>
      <sheetName val="Восстановл_Лист7"/>
      <sheetName val="Восстановл_Лист13"/>
      <sheetName val="Восстановл_Лист15"/>
      <sheetName val="Восстановл_Лист19"/>
      <sheetName val="Восстановл_Лист44"/>
      <sheetName val="Восстановл_Лист6"/>
      <sheetName val="Восстановл_Лист4"/>
      <sheetName val="Восстановл_Лист45"/>
      <sheetName val="Восстановл_Лист9"/>
      <sheetName val="Восстановл_Лист10"/>
      <sheetName val="Восстановл_Лист46"/>
      <sheetName val="Восстановл_Лист11"/>
      <sheetName val="Восстановл_Лист47"/>
      <sheetName val="Восстановл_Лист20"/>
      <sheetName val="Восстановл_Лист49"/>
      <sheetName val="Восстановл_Лист21"/>
      <sheetName val="свод"/>
      <sheetName val="свод 2"/>
      <sheetName val="КП НовоКов"/>
      <sheetName val="sapactivexlhiddensheet"/>
      <sheetName val="Спецификация"/>
      <sheetName val="Шкаф"/>
      <sheetName val="Коэфф1."/>
      <sheetName val="Прайс лист"/>
      <sheetName val="Данные для расчёта сметы"/>
      <sheetName val="См_1_наруж_водопровод"/>
      <sheetName val="свод_2"/>
      <sheetName val="Разработка_проекта"/>
      <sheetName val="КП_НовоКов"/>
      <sheetName val="Счет-Фактура"/>
      <sheetName val="Переменные и константы"/>
      <sheetName val="СметаСводная 1 оч"/>
      <sheetName val="пятилетка"/>
      <sheetName val="мониторинг"/>
      <sheetName val="СМЕТА проект"/>
      <sheetName val="Данные_для_расчёта_сметы"/>
      <sheetName val="Коэфф1_"/>
      <sheetName val="Прайс_лист"/>
      <sheetName val="СметаСводная_1_оч"/>
      <sheetName val="Пример расчета"/>
      <sheetName val="свод (2)"/>
      <sheetName val="Калплан ОИ2 Макм крестики"/>
      <sheetName val="к.84-к.83"/>
      <sheetName val="ТИТУЛ"/>
      <sheetName val="6.14"/>
      <sheetName val="ОБЩЕСТВА"/>
      <sheetName val="6.3.1"/>
      <sheetName val="6.20"/>
      <sheetName val="6.4.1"/>
      <sheetName val="ПРОГНОЗ_1"/>
      <sheetName val="6_11_1  сторонние"/>
      <sheetName val="установки"/>
      <sheetName val="8.14 КР (списание)ОПСТИКР"/>
      <sheetName val="Стр1"/>
      <sheetName val="Список"/>
      <sheetName val="6_14"/>
      <sheetName val="6_3_1"/>
      <sheetName val="6_20"/>
      <sheetName val="6_4_1"/>
      <sheetName val="6_11_1__сторонние"/>
      <sheetName val="8_14_КР_(списание)ОПСТИКР"/>
      <sheetName val="Списки"/>
      <sheetName val="6.14_КР"/>
      <sheetName val="Прилож"/>
      <sheetName val="см8"/>
      <sheetName val="DATA"/>
      <sheetName val="Нормы"/>
      <sheetName val="Текущие цены"/>
      <sheetName val="рабочий"/>
      <sheetName val="окраска"/>
      <sheetName val="все"/>
      <sheetName val="Кредиты"/>
      <sheetName val="СметаСводная Рыб"/>
      <sheetName val="отчет эл_эн  2000"/>
      <sheetName val="информация"/>
      <sheetName val="ПОДПИСИ"/>
      <sheetName val="13.1"/>
      <sheetName val="РАСЧЕТ"/>
      <sheetName val="эл_химз_1"/>
      <sheetName val="геология_1"/>
      <sheetName val="6_141"/>
      <sheetName val="6_3_11"/>
      <sheetName val="6_201"/>
      <sheetName val="6_4_11"/>
      <sheetName val="6_11_1__сторонние1"/>
      <sheetName val="8_14_КР_(списание)ОПСТИКР1"/>
      <sheetName val="6_14_КР"/>
      <sheetName val="Текущие_цены"/>
      <sheetName val="Зап-3-_СЦБ"/>
      <sheetName val="Пример_расчета"/>
      <sheetName val="СметаСводная_Рыб"/>
      <sheetName val="отчет_эл_эн__2000"/>
      <sheetName val="к_84-к_83"/>
      <sheetName val="6.3"/>
      <sheetName val="6.7"/>
      <sheetName val="6.3.1.3"/>
      <sheetName val="Лист2"/>
      <sheetName val="КП (2)"/>
      <sheetName val="Бюджет"/>
      <sheetName val="Norm"/>
      <sheetName val="свод 3"/>
      <sheetName val="ID"/>
      <sheetName val="СС"/>
      <sheetName val="ЭХЗ"/>
      <sheetName val="РасчетКомандир1"/>
      <sheetName val="РасчетКомандир2"/>
      <sheetName val="Коэфф"/>
      <sheetName val="Смета2 проект. раб."/>
      <sheetName val="данные"/>
      <sheetName val="Баланс"/>
      <sheetName val="Смета2_проект__раб_"/>
      <sheetName val="Смета_1"/>
      <sheetName val="Production and Spend"/>
      <sheetName val="OCK1"/>
      <sheetName val="1.3"/>
      <sheetName val="ИГ1"/>
      <sheetName val="К.рын"/>
      <sheetName val="Сводная смета"/>
      <sheetName val="Землеотвод"/>
      <sheetName val="шаблон"/>
      <sheetName val="СметаСводная павильон"/>
      <sheetName val="93-110"/>
      <sheetName val="Св. смета"/>
      <sheetName val="РБС ИЗМ1"/>
      <sheetName val="Лист опроса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Смета 1свод"/>
      <sheetName val="таблица руководству"/>
      <sheetName val="Суточная добыча за неделю"/>
      <sheetName val="list"/>
      <sheetName val="Прибыль опл"/>
      <sheetName val="Вспомогательный"/>
      <sheetName val="№5 СУБ Инж защ"/>
      <sheetName val="HP и оргтехника"/>
      <sheetName val="Calc"/>
      <sheetName val="История"/>
      <sheetName val="Р1"/>
      <sheetName val="Параметры_i"/>
      <sheetName val="Таблица 2"/>
      <sheetName val="свод1"/>
      <sheetName val="Таблица 4 АСУТП"/>
      <sheetName val="Input"/>
      <sheetName val="Calculation"/>
      <sheetName val="ст ГТМ"/>
      <sheetName val="ПДР ООО &quot;Юкос ФБЦ&quot;"/>
      <sheetName val="исходные данные"/>
      <sheetName val="расчетные таблицы"/>
      <sheetName val="Амур ДОН"/>
      <sheetName val="кп ГК"/>
      <sheetName val="Справочные данные"/>
      <sheetName val="Б.Сатка"/>
      <sheetName val="total"/>
      <sheetName val="Комплектация"/>
      <sheetName val="трубы"/>
      <sheetName val="СМР"/>
      <sheetName val="дороги"/>
      <sheetName val="2002(v2)"/>
      <sheetName val="справ."/>
      <sheetName val="справ_"/>
      <sheetName val="2002_v2_"/>
      <sheetName val="СметаСводная"/>
      <sheetName val="оборудован"/>
      <sheetName val="Упр"/>
      <sheetName val="Перечень ИУ"/>
      <sheetName val="РН-ПНГ"/>
      <sheetName val="влад-таблица"/>
      <sheetName val="2002(v1)"/>
      <sheetName val="3.1 ТХ"/>
      <sheetName val="ЗП_ЮНГ"/>
      <sheetName val="НМА"/>
      <sheetName val="оператор"/>
      <sheetName val="исх_данные"/>
      <sheetName val="СметаСводная Колпино"/>
      <sheetName val="Подрядчики"/>
      <sheetName val="Январь"/>
      <sheetName val="Итог"/>
      <sheetName val="мсн"/>
      <sheetName val="мат"/>
      <sheetName val="3.5"/>
      <sheetName val="справка"/>
      <sheetName val="суб.подряд"/>
      <sheetName val="ПСБ - ОЭ"/>
      <sheetName val="суб_подряд"/>
      <sheetName val="ПСБ_-_ОЭ"/>
      <sheetName val="Смета 2"/>
      <sheetName val="D"/>
      <sheetName val="Ачинский НПЗ"/>
      <sheetName val="4"/>
      <sheetName val="ИД"/>
      <sheetName val="См3 СЦБ-зап"/>
      <sheetName val="Хаттон 90.90 Femco"/>
      <sheetName val="ИД1"/>
      <sheetName val="свод общ"/>
      <sheetName val="Смета 5.2. Кусты25,29,31,65"/>
      <sheetName val="смета СИД"/>
      <sheetName val="часы"/>
      <sheetName val="ресурсная вед."/>
      <sheetName val="ИДвалка"/>
      <sheetName val="р.Волхов"/>
      <sheetName val="КП к ГК"/>
      <sheetName val="изыскания 2"/>
      <sheetName val="Калплан Кра"/>
      <sheetName val="Материалы"/>
      <sheetName val="Смета терзем"/>
      <sheetName val="1155"/>
      <sheetName val="HP_и_оргтехника"/>
      <sheetName val="СМЕТА_проект"/>
      <sheetName val="Лист_опроса"/>
      <sheetName val="13_1"/>
      <sheetName val="выборка на22 июня"/>
      <sheetName val="свод_3"/>
      <sheetName val="ОПС"/>
      <sheetName val="СметаСводная_снег"/>
      <sheetName val="Хаттон_90_90_Femco"/>
      <sheetName val="свод_общ"/>
      <sheetName val="таблица_руководству"/>
      <sheetName val="Суточная_добыча_за_неделю"/>
      <sheetName val="СметаСводная_павильон"/>
      <sheetName val="ЛЧ"/>
      <sheetName val="6.11 новый"/>
      <sheetName val="Opex personnel (Term facs)"/>
      <sheetName val="кп"/>
      <sheetName val="матер."/>
      <sheetName val="КП Прим (3)"/>
      <sheetName val="Lucent"/>
      <sheetName val="ИД СМР"/>
      <sheetName val="Пояснение "/>
      <sheetName val="3.1"/>
      <sheetName val="Коммерческие расходы"/>
      <sheetName val="смета 2 проект. работы"/>
      <sheetName val="Хар_"/>
      <sheetName val="С1_"/>
      <sheetName val="СтрЗапасов (2)"/>
      <sheetName val="НМ расчеты"/>
      <sheetName val="СС замеч с ответами"/>
      <sheetName val="начало"/>
      <sheetName val="Main"/>
      <sheetName val="УП _2004"/>
      <sheetName val="Курсы"/>
      <sheetName val="3.2"/>
      <sheetName val="3.3"/>
      <sheetName val="Р2.1"/>
      <sheetName val="Р2.2"/>
      <sheetName val="Р3"/>
      <sheetName val="Р4"/>
      <sheetName val="Р5"/>
      <sheetName val="Р7"/>
      <sheetName val="Удельные(проф.)"/>
      <sheetName val="Константы и результаты"/>
      <sheetName val="Лизинг"/>
      <sheetName val="расчет №3"/>
      <sheetName val="в работу"/>
      <sheetName val="1ПС"/>
      <sheetName val="20_Кредиты краткосрочные"/>
      <sheetName val="ц_1991"/>
      <sheetName val="ДКС"/>
      <sheetName val="Етыпур"/>
      <sheetName val="НВГПЗ"/>
      <sheetName val="НГКХ"/>
      <sheetName val="ПСП"/>
      <sheetName val="Тобольск"/>
      <sheetName val="УПН"/>
      <sheetName val="ПСПавтодор"/>
      <sheetName val="Лист3"/>
      <sheetName val="АЧ"/>
      <sheetName val="Общая часть"/>
      <sheetName val="Табл.5"/>
      <sheetName val="Табл.2"/>
      <sheetName val="Исх.данные"/>
      <sheetName val="MAIN_PARAMETERS"/>
      <sheetName val="RSOILBAL"/>
      <sheetName val="ВКЕ"/>
      <sheetName val="rvldmrv"/>
      <sheetName val="Additives"/>
      <sheetName val="Ryazan"/>
      <sheetName val="Assumpt"/>
      <sheetName val="Control"/>
      <sheetName val="Параметры"/>
      <sheetName val="См №3 ОПР"/>
      <sheetName val="см.№6 АВЗУ и ГПЗУ"/>
      <sheetName val="Геофизика"/>
      <sheetName val="Геодезия"/>
      <sheetName val="Экология1"/>
      <sheetName val="НГХК"/>
      <sheetName val="КП к снег Рыбинская"/>
      <sheetName val="АУП"/>
      <sheetName val="CENTR"/>
      <sheetName val="4сд"/>
      <sheetName val="2сд"/>
      <sheetName val="7сд"/>
      <sheetName val="Lim"/>
      <sheetName val="Справочник"/>
      <sheetName val="PwC Copies from old models --&gt;&gt;"/>
      <sheetName val="Справочники"/>
      <sheetName val="Сравнение ДПН факт 06-07"/>
      <sheetName val="Journals"/>
      <sheetName val="Names"/>
      <sheetName val="Input Assumptions"/>
      <sheetName val="DMTR_BP_03"/>
      <sheetName val="см №1.1 Геодезические работы "/>
      <sheetName val="см №1.4 Экология "/>
      <sheetName val="АСУ ТП 1 этап ПД"/>
      <sheetName val="2.2 "/>
      <sheetName val="Расчет курса"/>
      <sheetName val="XLR_NoRangeSheet"/>
      <sheetName val="НЕДЕЛИ"/>
      <sheetName val="GD"/>
      <sheetName val="Баланс (Ф1)"/>
      <sheetName val="Перечень Заказчиков"/>
      <sheetName val="СП"/>
      <sheetName val="Капитальные затраты"/>
      <sheetName val="трансформация1"/>
      <sheetName val="Destination"/>
      <sheetName val="breakdown"/>
      <sheetName val="EKDEB90"/>
      <sheetName val="Коэф КВ"/>
      <sheetName val="кп (3)"/>
      <sheetName val=""/>
      <sheetName val="К"/>
      <sheetName val="Кал.план Жукова даты - не надо"/>
      <sheetName val="фонтан разбитый2"/>
      <sheetName val="накладная"/>
      <sheetName val="Акт"/>
      <sheetName val="Смета-Т"/>
      <sheetName val="Смета 3 Гидролог"/>
      <sheetName val="Записка СЦБ"/>
      <sheetName val="РС "/>
      <sheetName val="геолог"/>
      <sheetName val="Курс доллара"/>
      <sheetName val="Календарь новый"/>
      <sheetName val="15"/>
      <sheetName val="Смета № 1 ИИ линия"/>
      <sheetName val="Дополнительные параметры"/>
      <sheetName val="Leistungsakt"/>
      <sheetName val="Свод объем"/>
      <sheetName val="Дог цена"/>
      <sheetName val="SakhNIPI5"/>
      <sheetName val="ПИР"/>
      <sheetName val="ИПЦ2002-2004"/>
      <sheetName val="Восстановл_Лист75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8"/>
      <sheetName val="Восстановл_Лист91"/>
      <sheetName val="Восстановл_Лист92"/>
      <sheetName val="Восстановл_Лист86"/>
      <sheetName val="Восстановл_Лист89"/>
      <sheetName val="Восстановл_Лист87"/>
      <sheetName val="Восстановл_Лист90"/>
      <sheetName val="Восстановл_Лист93"/>
      <sheetName val="Восстановл_Лист94"/>
      <sheetName val="Восстановл_Лист95"/>
      <sheetName val="Восстановл_Лист38"/>
      <sheetName val="Восстановл_Лист40"/>
      <sheetName val="Восстановл_Лист39"/>
      <sheetName val="Восстановл_Лист41"/>
      <sheetName val="Восстановл_Лист8"/>
      <sheetName val="Восстановл_Лист17"/>
      <sheetName val="3труба (П)"/>
      <sheetName val="Восстановл_Лист37"/>
      <sheetName val="Объемы работ по ПВ"/>
      <sheetName val="16"/>
      <sheetName val="Таблица 5"/>
      <sheetName val="Таблица 3"/>
      <sheetName val="Коэф"/>
      <sheetName val="1.401.2"/>
      <sheetName val="Source lists"/>
      <sheetName val="PO Data"/>
      <sheetName val="Rub"/>
      <sheetName val="ПД"/>
      <sheetName val="Исходные"/>
      <sheetName val="Капвложения"/>
      <sheetName val="259-290"/>
      <sheetName val="р.Нева"/>
      <sheetName val="р.Молога"/>
      <sheetName val="518-540"/>
      <sheetName val="470-518"/>
      <sheetName val="365-405"/>
      <sheetName val="290-365"/>
      <sheetName val="157-259"/>
      <sheetName val="132-157"/>
      <sheetName val="405-470"/>
      <sheetName val="111-132"/>
      <sheetName val="111"/>
      <sheetName val="Сахалин"/>
      <sheetName val="Чумляк"/>
      <sheetName val="18 рек Ю-Х"/>
      <sheetName val="нпс Палкино"/>
      <sheetName val="Россия - Китай"/>
      <sheetName val="КМ 210-238"/>
      <sheetName val="БТС-2 км 405-459"/>
      <sheetName val="БТС-2 км 405-453"/>
      <sheetName val="БТС-2 км 313-352"/>
      <sheetName val="БТС-2 км326-352"/>
      <sheetName val="Улейма И"/>
      <sheetName val="Белая УБКА"/>
      <sheetName val="Уфа"/>
      <sheetName val="км 72-75р.Левоннька"/>
      <sheetName val="dgghg"/>
      <sheetName val="бтс-2"/>
      <sheetName val="колва"/>
      <sheetName val="Чермасан"/>
      <sheetName val="Корожечна"/>
      <sheetName val="Колтасы-Куйбышев"/>
      <sheetName val="Самара"/>
      <sheetName val="Мишуга"/>
      <sheetName val="киенгоп-н.Челны км 104-206"/>
      <sheetName val="ВЛ Урдома"/>
      <sheetName val="Вл Микунь Урдома"/>
      <sheetName val="ВЛ Синдор-Микунь"/>
      <sheetName val="Тон Чермасан"/>
      <sheetName val="Трасса км 16-147"/>
      <sheetName val="Тверца"/>
      <sheetName val="трасса 0-76"/>
      <sheetName val="Колва 78"/>
      <sheetName val="Гидрология .р.Колва км 38"/>
      <sheetName val="Восстановл_Лист5"/>
      <sheetName val="Восстановл_Лист29"/>
      <sheetName val="Восстановл_Лист2"/>
      <sheetName val="Восстановл_Лист27"/>
      <sheetName val="Восстановл_Лист28"/>
      <sheetName val="Восстановл_Лист12"/>
      <sheetName val="Восстановл_Лист14"/>
      <sheetName val="Восстановл_Лист1"/>
      <sheetName val="Восстановл_Лист18"/>
      <sheetName val="Восстановл_Лист25"/>
      <sheetName val="ГПК"/>
      <sheetName val="Западн"/>
      <sheetName val="ПСП "/>
      <sheetName val="Спр_общий"/>
      <sheetName val="р_Волхов"/>
      <sheetName val="р_Нева"/>
      <sheetName val="р_Молога"/>
      <sheetName val="18_рек_Ю-Х"/>
      <sheetName val="нпс_Палкино"/>
      <sheetName val="Россия_-_Китай"/>
      <sheetName val="КМ_210-238"/>
      <sheetName val="БТС-2_км_405-459"/>
      <sheetName val="БТС-2_км_405-453"/>
      <sheetName val="БТС-2_км_313-352"/>
      <sheetName val="БТС-2_км326-352"/>
      <sheetName val="Улейма_И"/>
      <sheetName val="Белая_УБКА"/>
      <sheetName val="км_72-75р_Левоннька"/>
      <sheetName val="Б_Сатка"/>
      <sheetName val="киенгоп-н_Челны_км_104-206"/>
      <sheetName val="ВЛ_Урдома"/>
      <sheetName val="Вл_Микунь_Урдома"/>
      <sheetName val="ВЛ_Синдор-Микунь"/>
      <sheetName val="Тон_Чермасан"/>
      <sheetName val="Трасса_км_16-147"/>
      <sheetName val="трасса_0-76"/>
      <sheetName val="Колва_78"/>
      <sheetName val="Гидрология__р_Колва_км_38"/>
      <sheetName val="ПСП_"/>
      <sheetName val="Сводная_смета"/>
      <sheetName val="Стр1По"/>
      <sheetName val="Новая сводка (до бюджета) (2)"/>
      <sheetName val="Что пришло"/>
      <sheetName val="влад-таблица (2)"/>
      <sheetName val="Новая сводка (до бюджета)"/>
      <sheetName val="Сводка"/>
      <sheetName val="Новая сводка"/>
      <sheetName val="Бю-т"/>
      <sheetName val="ПерехОстатки"/>
      <sheetName val="Общие расходы"/>
      <sheetName val="Новая сводка (по бюджету)"/>
      <sheetName val="âëàä-òàáëèöà"/>
      <sheetName val="Íîâàÿ ñâîäêà (äî áþäæåòà) (2)"/>
      <sheetName val="×òî ïðèøëî"/>
      <sheetName val="âëàä-òàáëèöà (2)"/>
      <sheetName val="Íîâàÿ ñâîäêà (äî áþäæåòà)"/>
      <sheetName val="Ñâîäêà"/>
      <sheetName val="Íîâàÿ ñâîäêà"/>
      <sheetName val="Áþ-ò"/>
      <sheetName val="ÏåðåõÎñòàòêè"/>
      <sheetName val="Îáùèå ðàñõîäû"/>
      <sheetName val="Íîâàÿ ñâîäêà (ïî áþäæåòó)"/>
      <sheetName val="влад_таблица"/>
      <sheetName val="6.10.1"/>
      <sheetName val="Восстановл_Лист16"/>
      <sheetName val="6.7.3_ТН"/>
      <sheetName val="6.1"/>
      <sheetName val="НДС"/>
      <sheetName val="Гр5(о)"/>
      <sheetName val="пр_5_1"/>
      <sheetName val="Россия"/>
      <sheetName val="Украина"/>
      <sheetName val="Белорусия"/>
      <sheetName val="6.52-свод"/>
      <sheetName val="Новая_сводка_(до_бюджета)_(2)"/>
      <sheetName val="Что_пришло"/>
      <sheetName val="влад-таблица_(2)"/>
      <sheetName val="Новая_сводка_(до_бюджета)"/>
      <sheetName val="Новая_сводка"/>
      <sheetName val="Общие_расходы"/>
      <sheetName val="Новая_сводка_(по_бюджету)"/>
      <sheetName val="Íîâàÿ_ñâîäêà_(äî_áþäæåòà)_(2)"/>
      <sheetName val="×òî_ïðèøëî"/>
      <sheetName val="âëàä-òàáëèöà_(2)"/>
      <sheetName val="Íîâàÿ_ñâîäêà_(äî_áþäæåòà)"/>
      <sheetName val="Íîâàÿ_ñâîäêà"/>
      <sheetName val="Îáùèå_ðàñõîäû"/>
      <sheetName val="Íîâàÿ_ñâîäêà_(ïî_áþäæåòó)"/>
      <sheetName val="6_10_1"/>
      <sheetName val="6_7_3_ТН"/>
      <sheetName val="6_1"/>
      <sheetName val="ЦО"/>
      <sheetName val="Статьи"/>
      <sheetName val="2"/>
      <sheetName val="Новая_сводка_(до_бюджета)_(2)1"/>
      <sheetName val="Что_пришло1"/>
      <sheetName val="влад-таблица_(2)1"/>
      <sheetName val="Новая_сводка_(до_бюджета)1"/>
      <sheetName val="Новая_сводка1"/>
      <sheetName val="Общие_расходы1"/>
      <sheetName val="Новая_сводка_(по_бюджету)1"/>
      <sheetName val="Íîâàÿ_ñâîäêà_(äî_áþäæåòà)_(2)1"/>
      <sheetName val="×òî_ïðèøëî1"/>
      <sheetName val="âëàä-òàáëèöà_(2)1"/>
      <sheetName val="Íîâàÿ_ñâîäêà_(äî_áþäæåòà)1"/>
      <sheetName val="Íîâàÿ_ñâîäêà1"/>
      <sheetName val="Îáùèå_ðàñõîäû1"/>
      <sheetName val="Íîâàÿ_ñâîäêà_(ïî_áþäæåòó)1"/>
      <sheetName val="6_10_11"/>
      <sheetName val="6_7_3_ТН1"/>
      <sheetName val="6_11"/>
      <sheetName val="6_52-свод"/>
      <sheetName val="ДДС (Форма №3)"/>
      <sheetName val="09-07"/>
      <sheetName val="Титул1"/>
      <sheetName val="Титул2"/>
      <sheetName val="Титул3"/>
      <sheetName val="Info"/>
      <sheetName val="свод_ИИР"/>
      <sheetName val="3_1"/>
      <sheetName val="Коммерческие_расходы"/>
      <sheetName val="СС_замеч_с_ответами"/>
      <sheetName val="ПДР_ООО_&quot;Юкос_ФБЦ&quot;"/>
      <sheetName val="УП__2004"/>
      <sheetName val="Ачинский_НПЗ"/>
      <sheetName val="3_2"/>
      <sheetName val="3_3"/>
      <sheetName val="Р2_1"/>
      <sheetName val="Р2_2"/>
      <sheetName val="Удельные(проф_)"/>
      <sheetName val="Константы_и_результаты"/>
      <sheetName val="расчет_№3"/>
      <sheetName val="в_работу"/>
      <sheetName val="№5_СУБ_Инж_защ"/>
      <sheetName val="исходные_данные"/>
      <sheetName val="расчетные_таблицы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мета_1свод"/>
      <sheetName val="Прибыль_опл"/>
      <sheetName val="Амур_ДОН"/>
      <sheetName val="справ_1"/>
      <sheetName val="Перечень_ИУ"/>
      <sheetName val="3_1_ТХ"/>
      <sheetName val="1_3"/>
      <sheetName val="К_рын"/>
      <sheetName val="3_5"/>
      <sheetName val="См3_СЦБ-зап"/>
      <sheetName val="СметаСводная_Колпино"/>
      <sheetName val="Смета_2"/>
      <sheetName val="Таблица_4_АСУТП"/>
      <sheetName val="20_Кредиты_краткосрочные"/>
      <sheetName val="Перечень_Заказчиков"/>
      <sheetName val="Переменные_и_константы"/>
      <sheetName val="КП_к_снег_Рыбинская"/>
      <sheetName val="Смета_5_2__Кусты25,29,31,65"/>
      <sheetName val="Табл_5"/>
      <sheetName val="Табл_2"/>
      <sheetName val="Капитальные_затраты"/>
      <sheetName val="Opex_personnel_(Term_facs)"/>
      <sheetName val="КП_(2)"/>
      <sheetName val="2_2_"/>
      <sheetName val="М_1"/>
      <sheetName val="Сводная "/>
      <sheetName val="7.ТХ Сети (кор)"/>
      <sheetName val="Tier 311208"/>
      <sheetName val="Акт выбора"/>
      <sheetName val="См.№7 Эл."/>
      <sheetName val="См.№8 Пож."/>
      <sheetName val="См.№3 ВиК"/>
      <sheetName val="Полигон - ИЭИ "/>
      <sheetName val="Ком"/>
      <sheetName val="№1"/>
      <sheetName val="лч и кам"/>
      <sheetName val="Восстановл_Лист42"/>
      <sheetName val="Восстановл_Лист22"/>
      <sheetName val="Восстановл_Лист43"/>
      <sheetName val="Восстановл_Лист24"/>
      <sheetName val="Восстановл_Лист48"/>
      <sheetName val="Восстановл_Лист50"/>
      <sheetName val="Восстановл_Лист30"/>
      <sheetName val="Восстановл_Лист51"/>
      <sheetName val="Восстановл_Лист23"/>
      <sheetName val="Восстановл_Лист32"/>
      <sheetName val="Восстановл_Лист52"/>
      <sheetName val="Восстановл_Лист53"/>
      <sheetName val="Восстановл_Лист55"/>
      <sheetName val="Восстановл_Лист56"/>
      <sheetName val="Восстановл_Лист2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3"/>
      <sheetName val="Восстановл_Лист62"/>
      <sheetName val="Восстановл_Лист63"/>
      <sheetName val="Восстановл_Лист64"/>
      <sheetName val="Восстановл_Лист35"/>
      <sheetName val="Восстановл_Лист67"/>
      <sheetName val="Восстановл_Лист68"/>
      <sheetName val="Восстановл_Лист65"/>
      <sheetName val="Восстановл_Лист69"/>
      <sheetName val="Восстановл_Лист66"/>
      <sheetName val="Восстановл_Лист97"/>
      <sheetName val="Восстановл_Лист54"/>
      <sheetName val="Восстановл_Лист70"/>
      <sheetName val="Восстановл_Лист96"/>
      <sheetName val="Восстановл_Лист33"/>
      <sheetName val="Восстановл_Лист71"/>
      <sheetName val="Восстановл_Лист36"/>
      <sheetName val="Восстановл_Лист98"/>
      <sheetName val="Восстановл_Лист34"/>
      <sheetName val="Восстановл_Лист72"/>
      <sheetName val="Восстановл_Лист73"/>
      <sheetName val="Восстановл_Лист74"/>
      <sheetName val="Восстановл_Лист31"/>
      <sheetName val="РСС_АУ"/>
      <sheetName val="Раб.АУ"/>
      <sheetName val="Сметы за сопровождение"/>
      <sheetName val="2-stage"/>
      <sheetName val="База Геодезия"/>
      <sheetName val="База Геология"/>
      <sheetName val="СМ_x000b__x0011__x0012__x000c__x0011__x0011__x0011__x0011__x0011__x0011_"/>
      <sheetName val="ᄀᄀᄀᄀᄀᄀᄀᄀᄀᄀᄀᄀᄀᄀᄀᄀᄀ"/>
      <sheetName val="См.3_АСУ"/>
      <sheetName val="Смета ТЗ АСУ-16"/>
      <sheetName val="База Геофизика"/>
      <sheetName val="4.1.1"/>
      <sheetName val="исп.1.1.1"/>
      <sheetName val="База Гидро"/>
      <sheetName val="4.2.1"/>
      <sheetName val="исп.1.1.2"/>
      <sheetName val="Исп. смета этап 1.1, 1.2"/>
      <sheetName val="Экология-3"/>
      <sheetName val="АСУ-линия-1"/>
      <sheetName val="ТЗ АСУ-1"/>
      <sheetName val="Виды работ АСО"/>
      <sheetName val="Объем работ"/>
      <sheetName val="таблица_руко_x0019__x0015_ _x0003__x000c__x0011__x0011_"/>
      <sheetName val="ФОТ для смет"/>
      <sheetName val="ЛС_РЕС"/>
      <sheetName val="BACT"/>
      <sheetName val="таблица_руко_x0019__x0015__x0009__x0003__x000c__x0011__x0011_"/>
      <sheetName val="СВ 2"/>
      <sheetName val="СМ"/>
      <sheetName val="6"/>
      <sheetName val="1.14"/>
      <sheetName val="1.7"/>
      <sheetName val="_x0000__x0000_"/>
      <sheetName val="MararashAA"/>
      <sheetName val="ПРОЦЕНТЫ"/>
      <sheetName val="Бл.электр."/>
      <sheetName val="8"/>
      <sheetName val="ПД-2.2"/>
      <sheetName val="2 Геология"/>
      <sheetName val="Общ"/>
      <sheetName val="Норм"/>
      <sheetName val="Настр"/>
      <sheetName val="Распределение_затрат"/>
      <sheetName val="ЗАТ_ПОДР"/>
      <sheetName val="ПРОЧИЕ_ЗАТР"/>
      <sheetName val="ПОКУП_ВОДА"/>
      <sheetName val="РАСПРЕД ПО ПРОЦЕСС"/>
      <sheetName val="РЕАГ_КАТАЛ"/>
      <sheetName val="СЫРЬЕ"/>
      <sheetName val="СМЕТА_ТЕКРЕМ"/>
      <sheetName val="УСЛУГИ_ПРОМХАР"/>
      <sheetName val="Исх."/>
      <sheetName val="исх-данные"/>
      <sheetName val="СМИС"/>
      <sheetName val="Вспом."/>
      <sheetName val="УКП"/>
      <sheetName val="БД"/>
      <sheetName val="Лист4"/>
      <sheetName val="Общий"/>
      <sheetName val="ТабР"/>
      <sheetName val="База"/>
      <sheetName val="ИД ПНР"/>
      <sheetName val="#ССЫЛКА"/>
      <sheetName val="basa"/>
      <sheetName val="пофакторный"/>
      <sheetName val="РАСШИФ_ЦЕХ_РАСХ"/>
      <sheetName val="топ"/>
      <sheetName val="кап.ремонт"/>
      <sheetName val="Дог_рас"/>
      <sheetName val="Ограничения шаблон"/>
      <sheetName val="Обор"/>
      <sheetName val="1.2_"/>
      <sheetName val="Лист"/>
      <sheetName val="Исх"/>
      <sheetName val="Base"/>
      <sheetName val="ПС_x0000__x0000__x0000__x0000__x0000__x0000_"/>
      <sheetName val="эл_химз_2"/>
      <sheetName val="геология_2"/>
      <sheetName val="6_142"/>
      <sheetName val="6_3_12"/>
      <sheetName val="6_202"/>
      <sheetName val="6_4_12"/>
      <sheetName val="6_11_1__сторонние2"/>
      <sheetName val="8_14_КР_(списание)ОПСТИКР2"/>
      <sheetName val="6_14_КР1"/>
      <sheetName val="Данные_для_расчёта_сметы1"/>
      <sheetName val="Пример_расчета1"/>
      <sheetName val="свод_21"/>
      <sheetName val="Зап-3-_СЦБ1"/>
      <sheetName val="СметаСводная_Рыб1"/>
      <sheetName val="Текущие_цены1"/>
      <sheetName val="отчет_эл_эн__20001"/>
      <sheetName val="к_84-к_831"/>
      <sheetName val="Коэфф1_1"/>
      <sheetName val="6_3"/>
      <sheetName val="6_7"/>
      <sheetName val="6_3_1_3"/>
      <sheetName val="Смета2_проект__раб_1"/>
      <sheetName val="Смета_11"/>
      <sheetName val="Production_and_Spend"/>
      <sheetName val="Прайс_лист1"/>
      <sheetName val="См_1_наруж_водопровод1"/>
      <sheetName val="Разработка_проекта1"/>
      <sheetName val="КП_НовоКов1"/>
      <sheetName val="СметаСводная_1_оч1"/>
      <sheetName val="свод_(2)"/>
      <sheetName val="Калплан_ОИ2_Макм_крестики"/>
      <sheetName val="Св__смета"/>
      <sheetName val="РБС_ИЗМ1"/>
      <sheetName val="Таблица_2"/>
      <sheetName val="ст_ГТМ"/>
      <sheetName val="кп_ГК"/>
      <sheetName val="Справочные_данные"/>
      <sheetName val="суб_подряд1"/>
      <sheetName val="ПСБ_-_ОЭ1"/>
      <sheetName val="смета_СИД"/>
      <sheetName val="ресурсная_вед_"/>
      <sheetName val="КП_к_ГК"/>
      <sheetName val="изыскания_2"/>
      <sheetName val="Калплан_Кра"/>
      <sheetName val="6_11_новый"/>
      <sheetName val="КБК ДПК"/>
      <sheetName val="Main list"/>
      <sheetName val="ЕТС (ф)"/>
      <sheetName val="3_гидромет"/>
      <sheetName val="эл_химз_3"/>
      <sheetName val="13_11"/>
      <sheetName val="КП_(2)1"/>
      <sheetName val="свод_31"/>
      <sheetName val="СМЕТА_проект1"/>
      <sheetName val="1_31"/>
      <sheetName val="К_рын1"/>
      <sheetName val="Сводная_смета1"/>
      <sheetName val="Переменные_и_константы1"/>
      <sheetName val="СметаСводная_павильон1"/>
      <sheetName val="СметаСводная_снег1"/>
      <sheetName val="Лист_опроса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Смета_1свод1"/>
      <sheetName val="таблица_руководству1"/>
      <sheetName val="Суточная_добыча_за_неделю1"/>
      <sheetName val="Прибыль_опл1"/>
      <sheetName val="№5_СУБ_Инж_защ1"/>
      <sheetName val="HP_и_оргтехника1"/>
      <sheetName val="Таблица_4_АСУТП1"/>
      <sheetName val="ПДР_ООО_&quot;Юкос_ФБЦ&quot;1"/>
      <sheetName val="исходные_данные1"/>
      <sheetName val="расчетные_таблицы1"/>
      <sheetName val="Амур_ДОН1"/>
      <sheetName val="Б_Сатка1"/>
      <sheetName val="справ_2"/>
      <sheetName val="Перечень_ИУ1"/>
      <sheetName val="3_1_ТХ1"/>
      <sheetName val="СметаСводная_Колпино1"/>
      <sheetName val="3_51"/>
      <sheetName val="Смета_21"/>
      <sheetName val="Ачинский_НПЗ1"/>
      <sheetName val="См3_СЦБ-зап1"/>
      <sheetName val="Хаттон_90_90_Femco1"/>
      <sheetName val="свод_общ1"/>
      <sheetName val="Смета_5_2__Кусты25,29,31,651"/>
      <sheetName val="р_Волхов1"/>
      <sheetName val="Opex_personnel_(Term_facs)1"/>
      <sheetName val="Капитальные_затраты1"/>
      <sheetName val="Пояснение_"/>
      <sheetName val="3_11"/>
      <sheetName val="Коммерческие_расходы1"/>
      <sheetName val="смета_2_проект__работы"/>
      <sheetName val="СС_замеч_с_ответами1"/>
      <sheetName val="УП__20041"/>
      <sheetName val="в_работу1"/>
      <sheetName val="3_21"/>
      <sheetName val="3_31"/>
      <sheetName val="Р2_11"/>
      <sheetName val="Р2_21"/>
      <sheetName val="Удельные(проф_)1"/>
      <sheetName val="Константы_и_результаты1"/>
      <sheetName val="расчет_№31"/>
      <sheetName val="20_Кредиты_краткосрочные1"/>
      <sheetName val="Перечень_Заказчиков1"/>
      <sheetName val="2_2_1"/>
      <sheetName val="СтрЗапасов_(2)"/>
      <sheetName val="PwC_Copies_from_old_models_--&gt;&gt;"/>
      <sheetName val="Сравнение_ДПН_факт_06-07"/>
      <sheetName val="НМ_расчеты"/>
      <sheetName val="КП_к_снег_Рыбинская1"/>
      <sheetName val="Коэф_КВ"/>
      <sheetName val="Смета_терзем"/>
      <sheetName val="Кал_план_Жукова_даты_-_не_надо"/>
      <sheetName val="матер_"/>
      <sheetName val="КП_Прим_(3)"/>
      <sheetName val="кп_(3)"/>
      <sheetName val="фонтан_разбитый2"/>
      <sheetName val="РС_"/>
      <sheetName val="Баланс_(Ф1)"/>
      <sheetName val="Смета_3_Гидролог"/>
      <sheetName val="Записка_СЦБ"/>
      <sheetName val="Раб_АУ"/>
      <sheetName val="Source_lists"/>
      <sheetName val="Общая_часть"/>
      <sheetName val="Табл_51"/>
      <sheetName val="Табл_21"/>
      <sheetName val="См_№3_ОПР"/>
      <sheetName val="см_№6_АВЗУ_и_ГПЗУ"/>
      <sheetName val="Input_Assumptions"/>
      <sheetName val="см_№1_1_Геодезические_работы_"/>
      <sheetName val="см_№1_4_Экология_"/>
      <sheetName val="АСУ_ТП_1_этап_ПД"/>
      <sheetName val="Расчет_курса"/>
      <sheetName val="ПС"/>
      <sheetName val="ДДС_(Форма_№3)"/>
      <sheetName val="Курс_доллара"/>
      <sheetName val="Календарь_новый"/>
      <sheetName val="Смета_№_1_ИИ_линия"/>
      <sheetName val="Дополнительные_параметры"/>
      <sheetName val="Свод_объем"/>
      <sheetName val="Дог_цена"/>
      <sheetName val="выборка_на22_июня"/>
      <sheetName val="3труба_(П)"/>
      <sheetName val="Объемы_работ_по_ПВ"/>
      <sheetName val="Таблица_5"/>
      <sheetName val="Таблица_3"/>
      <sheetName val="1_401_2"/>
      <sheetName val="PO_Data"/>
      <sheetName val="р_Нева1"/>
      <sheetName val="р_Молога1"/>
      <sheetName val="18_рек_Ю-Х1"/>
      <sheetName val="нпс_Палкино1"/>
      <sheetName val="Россия_-_Китай1"/>
      <sheetName val="КМ_210-2381"/>
      <sheetName val="БТС-2_км_405-4591"/>
      <sheetName val="БТС-2_км_405-4531"/>
      <sheetName val="БТС-2_км_313-3521"/>
      <sheetName val="БТС-2_км326-3521"/>
      <sheetName val="Улейма_И1"/>
      <sheetName val="Белая_УБКА1"/>
      <sheetName val="км_72-75р_Левоннька1"/>
      <sheetName val="киенгоп-н_Челны_км_104-2061"/>
      <sheetName val="ВЛ_Урдома1"/>
      <sheetName val="Вл_Микунь_Урдома1"/>
      <sheetName val="ВЛ_Синдор-Микунь1"/>
      <sheetName val="Тон_Чермасан1"/>
      <sheetName val="Трасса_км_16-1471"/>
      <sheetName val="трасса_0-761"/>
      <sheetName val="Колва_781"/>
      <sheetName val="Гидрология__р_Колва_км_381"/>
      <sheetName val="ПСП_1"/>
      <sheetName val="Новая_сводка_(до_бюджета)_(2)2"/>
      <sheetName val="Что_пришло2"/>
      <sheetName val="влад-таблица_(2)2"/>
      <sheetName val="Новая_сводка_(до_бюджета)2"/>
      <sheetName val="Новая_сводка2"/>
      <sheetName val="Общие_расходы2"/>
      <sheetName val="Новая_сводка_(по_бюджету)2"/>
      <sheetName val="Íîâàÿ_ñâîäêà_(äî_áþäæåòà)_(2)2"/>
      <sheetName val="×òî_ïðèøëî2"/>
      <sheetName val="âëàä-òàáëèöà_(2)2"/>
      <sheetName val="Íîâàÿ_ñâîäêà_(äî_áþäæåòà)2"/>
      <sheetName val="Íîâàÿ_ñâîäêà2"/>
      <sheetName val="Îáùèå_ðàñõîäû2"/>
      <sheetName val="Íîâàÿ_ñâîäêà_(ïî_áþäæåòó)2"/>
      <sheetName val="6_10_12"/>
      <sheetName val="6_7_3_ТН2"/>
      <sheetName val="6_12"/>
      <sheetName val="6_52-свод1"/>
      <sheetName val="Сводная_"/>
      <sheetName val="7_ТХ_Сети_(кор)"/>
      <sheetName val="Tier_311208"/>
      <sheetName val="Акт_выбора"/>
      <sheetName val="См_№7_Эл_"/>
      <sheetName val="См_№8_Пож_"/>
      <sheetName val="См_№3_ВиК"/>
      <sheetName val="Сметы_за_сопровождение"/>
      <sheetName val="геология_3"/>
      <sheetName val="6_143"/>
      <sheetName val="6_3_13"/>
      <sheetName val="6_203"/>
      <sheetName val="6_4_13"/>
      <sheetName val="6_11_1__сторонние3"/>
      <sheetName val="8_14_КР_(списание)ОПСТИКР3"/>
      <sheetName val="Данные_для_расчёта_сметы2"/>
      <sheetName val="6_14_КР2"/>
      <sheetName val="Пример_расчета2"/>
      <sheetName val="свод_22"/>
      <sheetName val="Зап-3-_СЦБ2"/>
      <sheetName val="СметаСводная_Рыб2"/>
      <sheetName val="Текущие_цены2"/>
      <sheetName val="отчет_эл_эн__20002"/>
      <sheetName val="к_84-к_832"/>
      <sheetName val="Коэфф1_2"/>
      <sheetName val="6_31"/>
      <sheetName val="6_71"/>
      <sheetName val="6_3_1_31"/>
      <sheetName val="Смета2_проект__раб_2"/>
      <sheetName val="Смета_12"/>
      <sheetName val="Production_and_Spend1"/>
      <sheetName val="Прайс_лист2"/>
      <sheetName val="См_1_наруж_водопровод2"/>
      <sheetName val="Разработка_проекта2"/>
      <sheetName val="КП_НовоКов2"/>
      <sheetName val="СметаСводная_1_оч2"/>
      <sheetName val="свод_(2)1"/>
      <sheetName val="Калплан_ОИ2_Макм_крестики1"/>
      <sheetName val="Св__смета1"/>
      <sheetName val="РБС_ИЗМ11"/>
      <sheetName val="Таблица_21"/>
      <sheetName val="ст_ГТМ1"/>
      <sheetName val="кп_ГК1"/>
      <sheetName val="Справочные_данные1"/>
      <sheetName val="суб_подряд2"/>
      <sheetName val="ПСБ_-_ОЭ2"/>
      <sheetName val="смета_СИД1"/>
      <sheetName val="ресурсная_вед_1"/>
      <sheetName val="КП_к_ГК1"/>
      <sheetName val="изыскания_21"/>
      <sheetName val="Калплан_Кра1"/>
      <sheetName val="6_11_новый1"/>
      <sheetName val="См_3_АСУ"/>
      <sheetName val="Полигон_-_ИЭИ_"/>
      <sheetName val="Смета_ТЗ_АСУ-16"/>
      <sheetName val="База_Геодезия"/>
      <sheetName val="База_Геология"/>
      <sheetName val="База_Геофизика"/>
      <sheetName val="4_1_1"/>
      <sheetName val="исп_1_1_1"/>
      <sheetName val="База_Гидро"/>
      <sheetName val="4_2_1"/>
      <sheetName val="исп_1_1_2"/>
      <sheetName val="Исп__смета_этап_1_1,_1_2"/>
      <sheetName val="Исх1"/>
      <sheetName val="анализ 2003_2004исполнение МТО"/>
      <sheetName val="Технический лист"/>
      <sheetName val="Причины отклонений"/>
      <sheetName val="Статус работы"/>
      <sheetName val="Уровень графика"/>
      <sheetName val="Тестовый"/>
      <sheetName val="Panduit"/>
      <sheetName val="Приложение 2"/>
      <sheetName val=" Свод"/>
      <sheetName val="Пра"/>
      <sheetName val="исключ ЭХЗ"/>
      <sheetName val="БДР"/>
      <sheetName val="геол"/>
      <sheetName val="аванс по ОС"/>
      <sheetName val="Авансы выданные"/>
      <sheetName val="Кред"/>
      <sheetName val="ДЗ"/>
      <sheetName val="Кред. задолж."/>
      <sheetName val="Прочие"/>
      <sheetName val="Сводный"/>
      <sheetName val="ГАЗ_камаз"/>
      <sheetName val="41"/>
      <sheetName val="Договорная цена"/>
      <sheetName val="Имя"/>
      <sheetName val="№2Гидромет."/>
      <sheetName val="№2Геолог"/>
      <sheetName val="№2Геолог с.п."/>
      <sheetName val="№3Экологи (2этап)"/>
      <sheetName val="Исходная"/>
      <sheetName val="Должности"/>
      <sheetName val="3 Сл.-структура затрат"/>
      <sheetName val="const"/>
      <sheetName val="расчеты"/>
      <sheetName val="ПС 110 кВ (доп)"/>
      <sheetName val="ПД-2.1"/>
      <sheetName val="Пра_x0000_с_лист"/>
      <sheetName val="Смета 7"/>
      <sheetName val="Бл_электр_"/>
      <sheetName val="Прил.5 СС"/>
      <sheetName val="расчет вязкости"/>
      <sheetName val="Сравнение с Finder - ДНС-5"/>
      <sheetName val="Исх. данные"/>
      <sheetName val="эл_химз_4"/>
      <sheetName val="13_12"/>
      <sheetName val="КП_(2)2"/>
      <sheetName val="свод_32"/>
      <sheetName val="СМЕТА_проект2"/>
      <sheetName val="1_32"/>
      <sheetName val="К_рын2"/>
      <sheetName val="Сводная_смета2"/>
      <sheetName val="Переменные_и_константы2"/>
      <sheetName val="СметаСводная_павильон2"/>
      <sheetName val="СметаСводная_снег2"/>
      <sheetName val="Лист_опроса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Смета_1свод2"/>
      <sheetName val="таблица_руководству2"/>
      <sheetName val="Суточная_добыча_за_неделю2"/>
      <sheetName val="Прибыль_опл2"/>
      <sheetName val="№5_СУБ_Инж_защ2"/>
      <sheetName val="HP_и_оргтехника2"/>
      <sheetName val="Таблица_4_АСУТП2"/>
      <sheetName val="ПДР_ООО_&quot;Юкос_ФБЦ&quot;2"/>
      <sheetName val="исходные_данные2"/>
      <sheetName val="расчетные_таблицы2"/>
      <sheetName val="Амур_ДОН2"/>
      <sheetName val="Б_Сатка2"/>
      <sheetName val="справ_3"/>
      <sheetName val="Перечень_ИУ2"/>
      <sheetName val="3_1_ТХ2"/>
      <sheetName val="СметаСводная_Колпино2"/>
      <sheetName val="3_52"/>
      <sheetName val="Смета_22"/>
      <sheetName val="Ачинский_НПЗ2"/>
      <sheetName val="См3_СЦБ-зап2"/>
      <sheetName val="Хаттон_90_90_Femco2"/>
      <sheetName val="свод_общ2"/>
      <sheetName val="Смета_5_2__Кусты25,29,31,652"/>
      <sheetName val="р_Волхов2"/>
      <sheetName val="Opex_personnel_(Term_facs)2"/>
      <sheetName val="Капитальные_затраты2"/>
      <sheetName val="Пояснение_1"/>
      <sheetName val="3_12"/>
      <sheetName val="Коммерческие_расходы2"/>
      <sheetName val="смета_2_проект__работы1"/>
      <sheetName val="СС_замеч_с_ответами2"/>
      <sheetName val="УП__20042"/>
      <sheetName val="в_работу2"/>
      <sheetName val="3_22"/>
      <sheetName val="3_32"/>
      <sheetName val="Р2_12"/>
      <sheetName val="Р2_22"/>
      <sheetName val="Удельные(проф_)2"/>
      <sheetName val="Константы_и_результаты2"/>
      <sheetName val="расчет_№32"/>
      <sheetName val="20_Кредиты_краткосрочные2"/>
      <sheetName val="Перечень_Заказчиков2"/>
      <sheetName val="2_2_2"/>
      <sheetName val="СтрЗапасов_(2)1"/>
      <sheetName val="PwC_Copies_from_old_models_--&gt;1"/>
      <sheetName val="Сравнение_ДПН_факт_06-071"/>
      <sheetName val="НМ_расчеты1"/>
      <sheetName val="КП_к_снег_Рыбинская2"/>
      <sheetName val="Коэф_КВ1"/>
      <sheetName val="Смета_терзем1"/>
      <sheetName val="Кал_план_Жукова_даты_-_не_надо1"/>
      <sheetName val="матер_1"/>
      <sheetName val="КП_Прим_(3)1"/>
      <sheetName val="кп_(3)1"/>
      <sheetName val="фонтан_разбитый21"/>
      <sheetName val="Баланс_(Ф1)1"/>
      <sheetName val="Смета_3_Гидролог1"/>
      <sheetName val="Записка_СЦБ1"/>
      <sheetName val="РС_1"/>
      <sheetName val="Раб_АУ1"/>
      <sheetName val="Source_lists1"/>
      <sheetName val="Общая_часть1"/>
      <sheetName val="Табл_52"/>
      <sheetName val="Табл_22"/>
      <sheetName val="См_№3_ОПР1"/>
      <sheetName val="см_№6_АВЗУ_и_ГПЗУ1"/>
      <sheetName val="Input_Assumptions1"/>
      <sheetName val="см_№1_1_Геодезические_работы_1"/>
      <sheetName val="см_№1_4_Экология_1"/>
      <sheetName val="АСУ_ТП_1_этап_ПД1"/>
      <sheetName val="Расчет_курса1"/>
      <sheetName val="ДДС_(Форма_№3)1"/>
      <sheetName val="Курс_доллара1"/>
      <sheetName val="Календарь_новый1"/>
      <sheetName val="Смета_№_1_ИИ_линия1"/>
      <sheetName val="Дополнительные_параметры1"/>
      <sheetName val="Свод_объем1"/>
      <sheetName val="Дог_цена1"/>
      <sheetName val="выборка_на22_июня1"/>
      <sheetName val="3труба_(П)1"/>
      <sheetName val="Объемы_работ_по_ПВ1"/>
      <sheetName val="Таблица_51"/>
      <sheetName val="Таблица_31"/>
      <sheetName val="1_401_21"/>
      <sheetName val="PO_Data1"/>
      <sheetName val="р_Нева2"/>
      <sheetName val="р_Молога2"/>
      <sheetName val="18_рек_Ю-Х2"/>
      <sheetName val="нпс_Палкино2"/>
      <sheetName val="Россия_-_Китай2"/>
      <sheetName val="КМ_210-2382"/>
      <sheetName val="БТС-2_км_405-4592"/>
      <sheetName val="БТС-2_км_405-4532"/>
      <sheetName val="БТС-2_км_313-3522"/>
      <sheetName val="БТС-2_км326-3522"/>
      <sheetName val="Улейма_И2"/>
      <sheetName val="Белая_УБКА2"/>
      <sheetName val="км_72-75р_Левоннька2"/>
      <sheetName val="киенгоп-н_Челны_км_104-2062"/>
      <sheetName val="ВЛ_Урдома2"/>
      <sheetName val="Вл_Микунь_Урдома2"/>
      <sheetName val="ВЛ_Синдор-Микунь2"/>
      <sheetName val="Тон_Чермасан2"/>
      <sheetName val="Трасса_км_16-1472"/>
      <sheetName val="трасса_0-762"/>
      <sheetName val="Колва_782"/>
      <sheetName val="Гидрология__р_Колва_км_382"/>
      <sheetName val="ПСП_2"/>
      <sheetName val="Новая_сводка_(до_бюджета)_(2)3"/>
      <sheetName val="Что_пришло3"/>
      <sheetName val="влад-таблица_(2)3"/>
      <sheetName val="Новая_сводка_(до_бюджета)3"/>
      <sheetName val="Новая_сводка3"/>
      <sheetName val="Общие_расходы3"/>
      <sheetName val="Новая_сводка_(по_бюджету)3"/>
      <sheetName val="Íîâàÿ_ñâîäêà_(äî_áþäæåòà)_(2)3"/>
      <sheetName val="×òî_ïðèøëî3"/>
      <sheetName val="âëàä-òàáëèöà_(2)3"/>
      <sheetName val="Íîâàÿ_ñâîäêà_(äî_áþäæåòà)3"/>
      <sheetName val="Íîâàÿ_ñâîäêà3"/>
      <sheetName val="Îáùèå_ðàñõîäû3"/>
      <sheetName val="Íîâàÿ_ñâîäêà_(ïî_áþäæåòó)3"/>
      <sheetName val="6_10_13"/>
      <sheetName val="6_7_3_ТН3"/>
      <sheetName val="6_13"/>
      <sheetName val="6_52-свод2"/>
      <sheetName val="Сводная_1"/>
      <sheetName val="7_ТХ_Сети_(кор)1"/>
      <sheetName val="Tier_3112081"/>
      <sheetName val="Акт_выбора1"/>
      <sheetName val="См_№7_Эл_1"/>
      <sheetName val="См_№8_Пож_1"/>
      <sheetName val="См_№3_ВиК1"/>
      <sheetName val="Сметы_за_сопровождение1"/>
      <sheetName val="ЕТС_(ф)"/>
      <sheetName val="Форма 2.1"/>
      <sheetName val="W28"/>
      <sheetName val="См_2 Шатурс сети  проект работы"/>
      <sheetName val="автоматизация РД"/>
      <sheetName val="РабПр"/>
      <sheetName val="Акт-Смета_30"/>
      <sheetName val="Смета 2 эл.монтаж"/>
      <sheetName val="Смета 1 общестроит"/>
      <sheetName val="ДЦ"/>
      <sheetName val=" Оборудование  end"/>
      <sheetName val="сводная (2)"/>
      <sheetName val="Акт выполненных работ 46"/>
      <sheetName val="SMW_Служебная"/>
      <sheetName val="Промер глуб"/>
      <sheetName val="SENSITIVITY"/>
      <sheetName val="Расчет №1.1"/>
      <sheetName val="Расчет №2.1"/>
      <sheetName val="выборка "/>
      <sheetName val="выборка раб"/>
      <sheetName val="Свод2006"/>
      <sheetName val="1 кв"/>
      <sheetName val="РС"/>
      <sheetName val="см 5 ОДД "/>
      <sheetName val="Смета _4ПР ЭХЗ"/>
      <sheetName val="GLOBAL"/>
      <sheetName val="Прочее"/>
      <sheetName val="ИНСТРУКЦИЯ"/>
      <sheetName val="темп"/>
      <sheetName val="ЛЧ Р"/>
      <sheetName val="2.1"/>
      <sheetName val="СВ"/>
      <sheetName val="Настройки"/>
      <sheetName val="Производство электроэнергии"/>
      <sheetName val="Т11"/>
      <sheetName val="Т12"/>
      <sheetName val="Т7"/>
      <sheetName val="PLиюль04"/>
      <sheetName val="PL СКР"/>
      <sheetName val="1.1"/>
      <sheetName val="1.2-1"/>
      <sheetName val="1.2-2"/>
      <sheetName val="1.2-3"/>
      <sheetName val="1.2-4"/>
      <sheetName val="1.2-5"/>
      <sheetName val="1.3.1"/>
      <sheetName val="1.3.2"/>
      <sheetName val="1.3.3"/>
      <sheetName val="1.4.1.1"/>
      <sheetName val="1.4.1.2"/>
      <sheetName val="1.4.1.3"/>
      <sheetName val="1.4.1.5"/>
      <sheetName val="1.5"/>
      <sheetName val="№2.1"/>
      <sheetName val="№2.2-1"/>
      <sheetName val="№2.2-2"/>
      <sheetName val="№2.2-3 "/>
      <sheetName val="2.2-5 "/>
      <sheetName val="№2.3.1"/>
      <sheetName val="№2.3.2"/>
      <sheetName val="2.3.3"/>
      <sheetName val="2.4.1.1"/>
      <sheetName val="2.4.1.3"/>
      <sheetName val="№3.1"/>
      <sheetName val="№3.2-1"/>
      <sheetName val="№3.2-2"/>
      <sheetName val="№3.2-3"/>
      <sheetName val="3.2-5 "/>
      <sheetName val="3.3.1"/>
      <sheetName val="3.3.2"/>
      <sheetName val="3.3.3"/>
      <sheetName val="3.4.1.3"/>
      <sheetName val="2.6"/>
      <sheetName val="2.7"/>
      <sheetName val="4.1"/>
      <sheetName val="4.2"/>
      <sheetName val="4.3"/>
      <sheetName val="4.4"/>
      <sheetName val="4.5"/>
      <sheetName val="4.6"/>
      <sheetName val="4.7"/>
      <sheetName val="4.9"/>
      <sheetName val="4.10"/>
      <sheetName val="4.10 (3)"/>
      <sheetName val="4.10 (2)"/>
      <sheetName val="4.11"/>
      <sheetName val="4.12"/>
      <sheetName val="4.13"/>
      <sheetName val="4.14"/>
      <sheetName val="4.15"/>
      <sheetName val="4.16"/>
      <sheetName val="4.17"/>
      <sheetName val="4.18"/>
      <sheetName val="4.19"/>
      <sheetName val="5.1"/>
      <sheetName val="5.2"/>
      <sheetName val="5.3"/>
      <sheetName val="5.4"/>
      <sheetName val="5.5"/>
      <sheetName val="5.6"/>
      <sheetName val="5.7"/>
      <sheetName val="5.8"/>
      <sheetName val="Настройка"/>
      <sheetName val="База ВОП"/>
      <sheetName val="База ПИР"/>
      <sheetName val="2.2"/>
      <sheetName val="2.3"/>
      <sheetName val="2.3.2"/>
      <sheetName val="2.4"/>
      <sheetName val="2.5"/>
      <sheetName val=" Ком"/>
      <sheetName val="2.3.лаб"/>
      <sheetName val="3.1земля"/>
      <sheetName val="6.1-7.1"/>
      <sheetName val="рекульт"/>
      <sheetName val="ГО и ЧС"/>
      <sheetName val="ДПБ"/>
      <sheetName val="№3"/>
      <sheetName val="№1 СИД"/>
      <sheetName val="№2 Ком дьяк"/>
      <sheetName val="№3.2"/>
      <sheetName val="№3.3"/>
      <sheetName val="СВ смета"/>
      <sheetName val="№3.4"/>
      <sheetName val="№4 ПДЛУ и ЗУ"/>
      <sheetName val="№5 ППиМТ"/>
      <sheetName val="№6.1 ТГВ"/>
      <sheetName val="№6.2 ЭХЗ"/>
      <sheetName val="№6.3 ЭС (согл )"/>
      <sheetName val="№6.4 КИП"/>
      <sheetName val="№6.5 Согл (КИП) "/>
      <sheetName val="№6.6 МЕО "/>
      <sheetName val="№6.7 ПожБ (ПД)"/>
      <sheetName val="№6.8 Пром без (ПД)"/>
      <sheetName val="№6.9 эк аспект"/>
      <sheetName val="№6.10 ОВОС"/>
      <sheetName val="№6.11 отвод"/>
      <sheetName val="№6.12 рекул"/>
      <sheetName val="№6.13 отход"/>
      <sheetName val="№6.14 выброс"/>
      <sheetName val="№6.15 ИБ (ПД)"/>
      <sheetName val="№6.16 ИБ (РД)"/>
      <sheetName val="Таблица"/>
      <sheetName val="rankout"/>
      <sheetName val="Акты"/>
      <sheetName val="ЛС_БИ"/>
      <sheetName val="1-1"/>
      <sheetName val="1-2"/>
      <sheetName val="1-4"/>
      <sheetName val="изм2-1"/>
      <sheetName val="2-2"/>
      <sheetName val="2-3"/>
      <sheetName val="изм7-1"/>
      <sheetName val="изм9-1"/>
      <sheetName val="Список_объектов"/>
      <sheetName val="Коэффициенты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 refreshError="1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 refreshError="1"/>
      <sheetData sheetId="1021" refreshError="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/>
      <sheetData sheetId="1050"/>
      <sheetData sheetId="1051"/>
      <sheetData sheetId="1052" refreshError="1"/>
      <sheetData sheetId="1053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/>
      <sheetData sheetId="1066" refreshError="1"/>
      <sheetData sheetId="1067"/>
      <sheetData sheetId="1068" refreshError="1"/>
      <sheetData sheetId="1069" refreshError="1"/>
      <sheetData sheetId="1070" refreshError="1"/>
      <sheetData sheetId="1071">
        <row r="1">
          <cell r="B1">
            <v>0</v>
          </cell>
        </row>
      </sheetData>
      <sheetData sheetId="1072" refreshError="1"/>
      <sheetData sheetId="1073" refreshError="1"/>
      <sheetData sheetId="1074" refreshError="1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1">
          <cell r="B1">
            <v>0</v>
          </cell>
        </row>
      </sheetData>
      <sheetData sheetId="1088"/>
      <sheetData sheetId="1089">
        <row r="1">
          <cell r="B1">
            <v>0</v>
          </cell>
        </row>
      </sheetData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/>
      <sheetData sheetId="1319"/>
      <sheetData sheetId="1320" refreshError="1"/>
      <sheetData sheetId="1321"/>
      <sheetData sheetId="1322"/>
      <sheetData sheetId="1323"/>
      <sheetData sheetId="1324"/>
      <sheetData sheetId="1325"/>
      <sheetData sheetId="1326"/>
      <sheetData sheetId="1327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/>
      <sheetData sheetId="1">
        <row r="1">
          <cell r="B1" t="str">
            <v>Сейсморазведка МОВ-ОГТ на одном типе волн</v>
          </cell>
        </row>
        <row r="2">
          <cell r="B2" t="str">
            <v>Сейсморазведка МОВ-ОГТ на двух типах волн</v>
          </cell>
        </row>
        <row r="3">
          <cell r="B3" t="str">
            <v>Сейсморазведка МПВ на одном типе волн</v>
          </cell>
        </row>
        <row r="4">
          <cell r="B4" t="str">
            <v>Сейсморазведка МПВ на двух типах волн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tabSelected="1" view="pageBreakPreview" workbookViewId="0">
      <selection activeCell="F8" sqref="F8"/>
    </sheetView>
  </sheetViews>
  <sheetFormatPr defaultColWidth="12.453125" defaultRowHeight="18.5" x14ac:dyDescent="0.45"/>
  <cols>
    <col min="1" max="1" width="4.26953125" style="48" customWidth="1"/>
    <col min="2" max="2" width="38.54296875" style="48" customWidth="1"/>
    <col min="3" max="3" width="8" style="48" customWidth="1"/>
    <col min="4" max="4" width="8.453125" style="48" customWidth="1"/>
    <col min="5" max="5" width="11.453125" style="48" customWidth="1"/>
    <col min="6" max="6" width="14.453125" style="48" customWidth="1"/>
    <col min="7" max="7" width="9.26953125" style="48" customWidth="1"/>
    <col min="8" max="8" width="7.54296875" style="48" customWidth="1"/>
    <col min="9" max="9" width="8.54296875" style="48" customWidth="1"/>
    <col min="10" max="10" width="4.81640625" style="48" customWidth="1"/>
    <col min="11" max="11" width="16.7265625" style="48" customWidth="1"/>
    <col min="12" max="12" width="53.81640625" style="5" customWidth="1"/>
    <col min="13" max="13" width="34.54296875" style="5" customWidth="1"/>
    <col min="14" max="16" width="12.453125" style="5"/>
    <col min="17" max="16384" width="12.453125" style="48"/>
  </cols>
  <sheetData>
    <row r="1" spans="1:13" x14ac:dyDescent="0.45">
      <c r="A1" s="1"/>
      <c r="B1" s="2"/>
      <c r="C1" s="2"/>
      <c r="D1" s="3"/>
      <c r="E1" s="3"/>
      <c r="F1" s="4"/>
      <c r="G1" s="3"/>
      <c r="H1" s="3"/>
      <c r="I1" s="3"/>
      <c r="J1" s="3"/>
      <c r="K1" s="4"/>
    </row>
    <row r="2" spans="1:13" x14ac:dyDescent="0.45">
      <c r="A2" s="60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spans="1:13" x14ac:dyDescent="0.45">
      <c r="A3" s="60" t="s">
        <v>1</v>
      </c>
      <c r="B3" s="60"/>
      <c r="C3" s="60"/>
      <c r="D3" s="60"/>
      <c r="E3" s="60"/>
      <c r="F3" s="60"/>
      <c r="G3" s="60"/>
      <c r="H3" s="60"/>
      <c r="I3" s="60"/>
      <c r="J3" s="60"/>
      <c r="K3" s="60"/>
    </row>
    <row r="4" spans="1:13" ht="19" thickBot="1" x14ac:dyDescent="0.5">
      <c r="A4" s="6"/>
      <c r="B4" s="6"/>
      <c r="C4" s="7"/>
      <c r="D4" s="7" t="s">
        <v>2</v>
      </c>
      <c r="E4" s="7"/>
      <c r="F4" s="7"/>
      <c r="G4" s="7"/>
      <c r="H4" s="8"/>
      <c r="I4" s="8"/>
      <c r="J4" s="8"/>
      <c r="K4" s="6"/>
    </row>
    <row r="5" spans="1:13" x14ac:dyDescent="0.45">
      <c r="A5" s="9"/>
      <c r="B5" s="10"/>
      <c r="C5" s="10"/>
      <c r="D5" s="61" t="s">
        <v>3</v>
      </c>
      <c r="E5" s="61"/>
      <c r="F5" s="61"/>
      <c r="G5" s="61"/>
      <c r="H5" s="62"/>
      <c r="I5" s="11"/>
      <c r="J5" s="11"/>
      <c r="K5" s="12"/>
    </row>
    <row r="6" spans="1:13" x14ac:dyDescent="0.45">
      <c r="A6" s="3"/>
      <c r="B6" s="3"/>
      <c r="C6" s="3"/>
      <c r="D6" s="3"/>
      <c r="E6" s="3"/>
      <c r="F6" s="4"/>
      <c r="G6" s="3"/>
      <c r="H6" s="3"/>
      <c r="I6" s="3"/>
      <c r="J6" s="3"/>
      <c r="K6" s="4"/>
    </row>
    <row r="7" spans="1:13" ht="29.25" customHeight="1" thickBot="1" x14ac:dyDescent="0.5">
      <c r="A7" s="63" t="s">
        <v>4</v>
      </c>
      <c r="B7" s="63"/>
      <c r="C7" s="63"/>
      <c r="D7" s="64"/>
      <c r="E7" s="64"/>
      <c r="F7" s="64"/>
      <c r="G7" s="64"/>
      <c r="H7" s="64"/>
      <c r="I7" s="64"/>
      <c r="J7" s="64"/>
      <c r="K7" s="64"/>
    </row>
    <row r="8" spans="1:13" x14ac:dyDescent="0.45">
      <c r="A8" s="3"/>
      <c r="B8" s="3"/>
      <c r="C8" s="3"/>
      <c r="D8" s="3"/>
      <c r="E8" s="3"/>
      <c r="F8" s="4"/>
      <c r="G8" s="3"/>
      <c r="H8" s="3"/>
      <c r="I8" s="3"/>
      <c r="J8" s="3"/>
      <c r="K8" s="4"/>
    </row>
    <row r="9" spans="1:13" ht="19" thickBot="1" x14ac:dyDescent="0.5">
      <c r="A9" s="58" t="s">
        <v>5</v>
      </c>
      <c r="B9" s="58"/>
      <c r="C9" s="58"/>
      <c r="D9" s="59" t="s">
        <v>6</v>
      </c>
      <c r="E9" s="59"/>
      <c r="F9" s="59"/>
      <c r="G9" s="59"/>
      <c r="H9" s="59"/>
      <c r="I9" s="59"/>
      <c r="J9" s="59"/>
      <c r="K9" s="59"/>
    </row>
    <row r="10" spans="1:13" x14ac:dyDescent="0.45">
      <c r="A10" s="3"/>
      <c r="B10" s="3"/>
      <c r="C10" s="3"/>
      <c r="D10" s="3"/>
      <c r="E10" s="13"/>
      <c r="F10" s="4"/>
      <c r="G10" s="3"/>
      <c r="H10" s="3"/>
      <c r="I10" s="3"/>
      <c r="J10" s="3"/>
      <c r="K10" s="4"/>
    </row>
    <row r="11" spans="1:13" ht="19" thickBot="1" x14ac:dyDescent="0.5">
      <c r="A11" s="58" t="s">
        <v>7</v>
      </c>
      <c r="B11" s="58"/>
      <c r="C11" s="58"/>
      <c r="D11" s="59"/>
      <c r="E11" s="59"/>
      <c r="F11" s="59"/>
      <c r="G11" s="59"/>
      <c r="H11" s="59"/>
      <c r="I11" s="59"/>
      <c r="J11" s="59"/>
      <c r="K11" s="59"/>
      <c r="L11" s="14"/>
      <c r="M11" s="15"/>
    </row>
    <row r="12" spans="1:13" x14ac:dyDescent="0.45">
      <c r="A12" s="3"/>
      <c r="B12" s="3"/>
      <c r="C12" s="3"/>
      <c r="D12" s="3"/>
      <c r="E12" s="3"/>
      <c r="F12" s="4"/>
      <c r="G12" s="3"/>
      <c r="H12" s="3"/>
      <c r="I12" s="3"/>
      <c r="J12" s="3"/>
      <c r="K12" s="4"/>
    </row>
    <row r="13" spans="1:13" x14ac:dyDescent="0.45">
      <c r="A13" s="58" t="s">
        <v>8</v>
      </c>
      <c r="B13" s="58"/>
      <c r="C13" s="58"/>
      <c r="D13" s="72" t="s">
        <v>9</v>
      </c>
      <c r="E13" s="73"/>
      <c r="F13" s="73"/>
      <c r="G13" s="73"/>
      <c r="H13" s="73"/>
      <c r="I13" s="73"/>
      <c r="J13" s="73"/>
      <c r="K13" s="73"/>
    </row>
    <row r="14" spans="1:13" ht="19" thickBot="1" x14ac:dyDescent="0.5">
      <c r="A14" s="16"/>
      <c r="B14" s="17"/>
      <c r="C14" s="17"/>
      <c r="D14" s="17"/>
      <c r="E14" s="18"/>
      <c r="F14" s="17"/>
      <c r="G14" s="19"/>
      <c r="H14" s="19"/>
      <c r="I14" s="19"/>
      <c r="J14" s="19"/>
      <c r="K14" s="20"/>
    </row>
    <row r="15" spans="1:13" ht="42.75" customHeight="1" x14ac:dyDescent="0.45">
      <c r="A15" s="74" t="s">
        <v>10</v>
      </c>
      <c r="B15" s="74" t="s">
        <v>11</v>
      </c>
      <c r="C15" s="76" t="s">
        <v>12</v>
      </c>
      <c r="D15" s="74" t="s">
        <v>13</v>
      </c>
      <c r="E15" s="77" t="s">
        <v>14</v>
      </c>
      <c r="F15" s="74" t="s">
        <v>15</v>
      </c>
      <c r="G15" s="85" t="s">
        <v>16</v>
      </c>
      <c r="H15" s="85" t="s">
        <v>17</v>
      </c>
      <c r="I15" s="85"/>
      <c r="J15" s="85"/>
      <c r="K15" s="65" t="s">
        <v>18</v>
      </c>
    </row>
    <row r="16" spans="1:13" x14ac:dyDescent="0.45">
      <c r="A16" s="75"/>
      <c r="B16" s="75"/>
      <c r="C16" s="74"/>
      <c r="D16" s="75"/>
      <c r="E16" s="78"/>
      <c r="F16" s="75"/>
      <c r="G16" s="86"/>
      <c r="H16" s="21" t="s">
        <v>19</v>
      </c>
      <c r="I16" s="21" t="s">
        <v>20</v>
      </c>
      <c r="J16" s="21" t="s">
        <v>21</v>
      </c>
      <c r="K16" s="66"/>
    </row>
    <row r="17" spans="1:12" ht="19" thickBot="1" x14ac:dyDescent="0.5">
      <c r="A17" s="22">
        <v>1</v>
      </c>
      <c r="B17" s="23">
        <v>2</v>
      </c>
      <c r="C17" s="23">
        <v>3</v>
      </c>
      <c r="D17" s="23">
        <v>4</v>
      </c>
      <c r="E17" s="23">
        <v>5</v>
      </c>
      <c r="F17" s="23">
        <v>6</v>
      </c>
      <c r="G17" s="23">
        <v>7</v>
      </c>
      <c r="H17" s="23">
        <v>8</v>
      </c>
      <c r="I17" s="23">
        <v>9</v>
      </c>
      <c r="J17" s="23">
        <v>10</v>
      </c>
      <c r="K17" s="23">
        <v>11</v>
      </c>
    </row>
    <row r="18" spans="1:12" x14ac:dyDescent="0.45">
      <c r="A18" s="67" t="s">
        <v>22</v>
      </c>
      <c r="B18" s="68"/>
      <c r="C18" s="68"/>
      <c r="D18" s="68"/>
      <c r="E18" s="68"/>
      <c r="F18" s="68"/>
      <c r="G18" s="68"/>
      <c r="H18" s="68"/>
      <c r="I18" s="68"/>
      <c r="J18" s="68"/>
      <c r="K18" s="69"/>
      <c r="L18" s="24"/>
    </row>
    <row r="19" spans="1:12" ht="65" x14ac:dyDescent="0.45">
      <c r="A19" s="25">
        <v>1</v>
      </c>
      <c r="B19" s="26" t="s">
        <v>59</v>
      </c>
      <c r="C19" s="51" t="s">
        <v>45</v>
      </c>
      <c r="D19" s="27" t="s">
        <v>23</v>
      </c>
      <c r="E19" s="27">
        <v>97</v>
      </c>
      <c r="F19" s="28" t="s">
        <v>60</v>
      </c>
      <c r="G19" s="29">
        <v>4632</v>
      </c>
      <c r="H19" s="29">
        <v>1.75</v>
      </c>
      <c r="I19" s="27">
        <v>1</v>
      </c>
      <c r="J19" s="27">
        <v>1.25</v>
      </c>
      <c r="K19" s="29">
        <f>ROUND(E19*G19*H19*I19*J19,2)</f>
        <v>982852.5</v>
      </c>
    </row>
    <row r="20" spans="1:12" ht="52" x14ac:dyDescent="0.45">
      <c r="A20" s="25">
        <v>2</v>
      </c>
      <c r="B20" s="26" t="s">
        <v>61</v>
      </c>
      <c r="C20" s="51" t="s">
        <v>62</v>
      </c>
      <c r="D20" s="27" t="s">
        <v>23</v>
      </c>
      <c r="E20" s="27">
        <v>26</v>
      </c>
      <c r="F20" s="28" t="s">
        <v>63</v>
      </c>
      <c r="G20" s="29">
        <v>3288</v>
      </c>
      <c r="H20" s="29">
        <v>1.2</v>
      </c>
      <c r="I20" s="27">
        <v>1</v>
      </c>
      <c r="J20" s="27">
        <v>1</v>
      </c>
      <c r="K20" s="29">
        <f>ROUND(E20*G20*H20*I20*J20,2)</f>
        <v>102585.60000000001</v>
      </c>
    </row>
    <row r="21" spans="1:12" ht="39" x14ac:dyDescent="0.45">
      <c r="A21" s="25">
        <v>3</v>
      </c>
      <c r="B21" s="52" t="s">
        <v>53</v>
      </c>
      <c r="C21" s="53" t="s">
        <v>49</v>
      </c>
      <c r="D21" s="54" t="s">
        <v>50</v>
      </c>
      <c r="E21" s="55">
        <v>8</v>
      </c>
      <c r="F21" s="56" t="s">
        <v>51</v>
      </c>
      <c r="G21" s="57">
        <v>6426</v>
      </c>
      <c r="H21" s="54">
        <v>1.25</v>
      </c>
      <c r="I21" s="54">
        <v>1.3</v>
      </c>
      <c r="J21" s="54">
        <v>1</v>
      </c>
      <c r="K21" s="57">
        <f t="shared" ref="K21:K22" si="0">ROUND(E21*G21*H21*I21*J21,2)</f>
        <v>83538</v>
      </c>
    </row>
    <row r="22" spans="1:12" ht="39" x14ac:dyDescent="0.45">
      <c r="A22" s="25">
        <v>4</v>
      </c>
      <c r="B22" s="52" t="s">
        <v>54</v>
      </c>
      <c r="C22" s="53" t="s">
        <v>49</v>
      </c>
      <c r="D22" s="54" t="s">
        <v>50</v>
      </c>
      <c r="E22" s="55">
        <v>8</v>
      </c>
      <c r="F22" s="56" t="s">
        <v>52</v>
      </c>
      <c r="G22" s="57">
        <v>1897</v>
      </c>
      <c r="H22" s="57">
        <v>1.25</v>
      </c>
      <c r="I22" s="54">
        <v>1</v>
      </c>
      <c r="J22" s="54">
        <v>1</v>
      </c>
      <c r="K22" s="57">
        <f t="shared" si="0"/>
        <v>18970</v>
      </c>
    </row>
    <row r="23" spans="1:12" x14ac:dyDescent="0.45">
      <c r="A23" s="25"/>
      <c r="B23" s="26" t="s">
        <v>47</v>
      </c>
      <c r="C23" s="51"/>
      <c r="D23" s="27"/>
      <c r="E23" s="27"/>
      <c r="F23" s="28" t="s">
        <v>48</v>
      </c>
      <c r="G23" s="29"/>
      <c r="H23" s="29"/>
      <c r="I23" s="27">
        <v>1.3</v>
      </c>
      <c r="J23" s="27"/>
      <c r="K23" s="29"/>
    </row>
    <row r="24" spans="1:12" x14ac:dyDescent="0.45">
      <c r="A24" s="30"/>
      <c r="B24" s="31" t="s">
        <v>24</v>
      </c>
      <c r="C24" s="31"/>
      <c r="D24" s="27" t="s">
        <v>25</v>
      </c>
      <c r="E24" s="27" t="s">
        <v>25</v>
      </c>
      <c r="F24" s="27" t="s">
        <v>25</v>
      </c>
      <c r="G24" s="27" t="s">
        <v>25</v>
      </c>
      <c r="H24" s="27" t="s">
        <v>25</v>
      </c>
      <c r="I24" s="27" t="s">
        <v>25</v>
      </c>
      <c r="J24" s="27" t="s">
        <v>25</v>
      </c>
      <c r="K24" s="32">
        <f>(K19+K21+K20+K22)*I23</f>
        <v>1544329.9300000002</v>
      </c>
    </row>
    <row r="25" spans="1:12" x14ac:dyDescent="0.45">
      <c r="A25" s="70" t="s">
        <v>26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</row>
    <row r="26" spans="1:12" ht="65" x14ac:dyDescent="0.45">
      <c r="A26" s="25">
        <v>5</v>
      </c>
      <c r="B26" s="26" t="s">
        <v>43</v>
      </c>
      <c r="C26" s="51" t="s">
        <v>45</v>
      </c>
      <c r="D26" s="27" t="s">
        <v>23</v>
      </c>
      <c r="E26" s="27">
        <v>97</v>
      </c>
      <c r="F26" s="28" t="s">
        <v>44</v>
      </c>
      <c r="G26" s="29">
        <v>1938</v>
      </c>
      <c r="H26" s="29">
        <v>1.75</v>
      </c>
      <c r="I26" s="27">
        <v>1.2</v>
      </c>
      <c r="J26" s="27">
        <v>1</v>
      </c>
      <c r="K26" s="29">
        <f t="shared" ref="K26:K31" si="1">ROUND(E26*G26*H26*I26*J26,2)</f>
        <v>394770.6</v>
      </c>
      <c r="L26" s="24"/>
    </row>
    <row r="27" spans="1:12" ht="65" x14ac:dyDescent="0.45">
      <c r="A27" s="25">
        <v>6</v>
      </c>
      <c r="B27" s="26" t="s">
        <v>64</v>
      </c>
      <c r="C27" s="51" t="s">
        <v>62</v>
      </c>
      <c r="D27" s="27" t="s">
        <v>23</v>
      </c>
      <c r="E27" s="27">
        <v>26</v>
      </c>
      <c r="F27" s="28" t="s">
        <v>65</v>
      </c>
      <c r="G27" s="29">
        <v>791</v>
      </c>
      <c r="H27" s="29">
        <v>1.2</v>
      </c>
      <c r="I27" s="27">
        <v>1.2</v>
      </c>
      <c r="J27" s="27">
        <v>1</v>
      </c>
      <c r="K27" s="29">
        <f t="shared" ref="K27" si="2">ROUND(E27*G27*H27*I27*J27,2)</f>
        <v>29615.040000000001</v>
      </c>
      <c r="L27" s="24"/>
    </row>
    <row r="28" spans="1:12" ht="26" x14ac:dyDescent="0.45">
      <c r="A28" s="25">
        <v>7</v>
      </c>
      <c r="B28" s="52" t="s">
        <v>55</v>
      </c>
      <c r="C28" s="53" t="s">
        <v>49</v>
      </c>
      <c r="D28" s="54" t="s">
        <v>50</v>
      </c>
      <c r="E28" s="55">
        <v>8</v>
      </c>
      <c r="F28" s="56" t="s">
        <v>56</v>
      </c>
      <c r="G28" s="57">
        <v>2538</v>
      </c>
      <c r="H28" s="54">
        <v>1</v>
      </c>
      <c r="I28" s="54">
        <v>1</v>
      </c>
      <c r="J28" s="54">
        <v>1</v>
      </c>
      <c r="K28" s="57">
        <f t="shared" si="1"/>
        <v>20304</v>
      </c>
      <c r="L28" s="24"/>
    </row>
    <row r="29" spans="1:12" ht="26" x14ac:dyDescent="0.45">
      <c r="A29" s="25">
        <v>8</v>
      </c>
      <c r="B29" s="52" t="s">
        <v>57</v>
      </c>
      <c r="C29" s="53" t="s">
        <v>49</v>
      </c>
      <c r="D29" s="54" t="s">
        <v>50</v>
      </c>
      <c r="E29" s="55">
        <v>8</v>
      </c>
      <c r="F29" s="56" t="s">
        <v>58</v>
      </c>
      <c r="G29" s="57">
        <v>428</v>
      </c>
      <c r="H29" s="54">
        <v>1</v>
      </c>
      <c r="I29" s="54">
        <v>1</v>
      </c>
      <c r="J29" s="54">
        <v>1</v>
      </c>
      <c r="K29" s="57">
        <f t="shared" si="1"/>
        <v>3424</v>
      </c>
      <c r="L29" s="24"/>
    </row>
    <row r="30" spans="1:12" ht="26" x14ac:dyDescent="0.45">
      <c r="A30" s="25">
        <v>9</v>
      </c>
      <c r="B30" s="26" t="s">
        <v>66</v>
      </c>
      <c r="C30" s="51"/>
      <c r="D30" s="54" t="s">
        <v>50</v>
      </c>
      <c r="E30" s="27">
        <v>8</v>
      </c>
      <c r="F30" s="28" t="s">
        <v>67</v>
      </c>
      <c r="G30" s="29">
        <v>160</v>
      </c>
      <c r="H30" s="29">
        <v>1</v>
      </c>
      <c r="I30" s="27">
        <v>1</v>
      </c>
      <c r="J30" s="27">
        <v>1</v>
      </c>
      <c r="K30" s="29">
        <f>ROUND(E30*G30*H30*I30*J30,2)</f>
        <v>1280</v>
      </c>
      <c r="L30" s="24"/>
    </row>
    <row r="31" spans="1:12" ht="26" x14ac:dyDescent="0.45">
      <c r="A31" s="25">
        <v>10</v>
      </c>
      <c r="B31" s="26" t="s">
        <v>27</v>
      </c>
      <c r="C31" s="26"/>
      <c r="D31" s="27" t="s">
        <v>28</v>
      </c>
      <c r="E31" s="33">
        <v>12</v>
      </c>
      <c r="F31" s="28" t="s">
        <v>29</v>
      </c>
      <c r="G31" s="29">
        <v>480</v>
      </c>
      <c r="H31" s="27">
        <v>1</v>
      </c>
      <c r="I31" s="27">
        <v>1</v>
      </c>
      <c r="J31" s="27">
        <v>1</v>
      </c>
      <c r="K31" s="29">
        <f t="shared" si="1"/>
        <v>5760</v>
      </c>
    </row>
    <row r="32" spans="1:12" x14ac:dyDescent="0.45">
      <c r="A32" s="34"/>
      <c r="B32" s="31" t="s">
        <v>30</v>
      </c>
      <c r="C32" s="31"/>
      <c r="D32" s="27" t="s">
        <v>25</v>
      </c>
      <c r="E32" s="27" t="s">
        <v>25</v>
      </c>
      <c r="F32" s="27" t="s">
        <v>25</v>
      </c>
      <c r="G32" s="27" t="s">
        <v>25</v>
      </c>
      <c r="H32" s="27" t="s">
        <v>25</v>
      </c>
      <c r="I32" s="27" t="s">
        <v>25</v>
      </c>
      <c r="J32" s="27" t="s">
        <v>25</v>
      </c>
      <c r="K32" s="32">
        <f>ROUND(SUM(K26:K31),2)</f>
        <v>455153.64</v>
      </c>
    </row>
    <row r="33" spans="1:12" ht="24.75" customHeight="1" x14ac:dyDescent="0.45">
      <c r="A33" s="71" t="s">
        <v>31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</row>
    <row r="34" spans="1:12" ht="56.25" customHeight="1" x14ac:dyDescent="0.45">
      <c r="A34" s="35"/>
      <c r="B34" s="36" t="s">
        <v>11</v>
      </c>
      <c r="C34" s="79" t="s">
        <v>32</v>
      </c>
      <c r="D34" s="80"/>
      <c r="E34" s="35" t="s">
        <v>33</v>
      </c>
      <c r="F34" s="35" t="s">
        <v>15</v>
      </c>
      <c r="G34" s="81" t="s">
        <v>34</v>
      </c>
      <c r="H34" s="82"/>
      <c r="I34" s="82"/>
      <c r="J34" s="83"/>
      <c r="K34" s="35" t="s">
        <v>35</v>
      </c>
    </row>
    <row r="35" spans="1:12" ht="26" x14ac:dyDescent="0.45">
      <c r="A35" s="25">
        <v>11</v>
      </c>
      <c r="B35" s="26" t="s">
        <v>68</v>
      </c>
      <c r="C35" s="37">
        <v>3.75</v>
      </c>
      <c r="D35" s="27" t="s">
        <v>36</v>
      </c>
      <c r="E35" s="27">
        <f>$K$24</f>
        <v>1544329.9300000002</v>
      </c>
      <c r="F35" s="28" t="s">
        <v>69</v>
      </c>
      <c r="G35" s="27">
        <v>1</v>
      </c>
      <c r="H35" s="38">
        <v>1</v>
      </c>
      <c r="I35" s="38">
        <v>1</v>
      </c>
      <c r="J35" s="38">
        <v>1</v>
      </c>
      <c r="K35" s="29">
        <f t="shared" ref="K35:K36" si="3">ROUND(C35/100*E35*G35*H35*I35*J35,2)</f>
        <v>57912.37</v>
      </c>
    </row>
    <row r="36" spans="1:12" ht="39" x14ac:dyDescent="0.45">
      <c r="A36" s="25">
        <v>12</v>
      </c>
      <c r="B36" s="26" t="s">
        <v>71</v>
      </c>
      <c r="C36" s="37">
        <v>12.7</v>
      </c>
      <c r="D36" s="27" t="s">
        <v>36</v>
      </c>
      <c r="E36" s="27">
        <f>$K$24+K35</f>
        <v>1602242.3000000003</v>
      </c>
      <c r="F36" s="28" t="s">
        <v>70</v>
      </c>
      <c r="G36" s="27">
        <v>1</v>
      </c>
      <c r="H36" s="38">
        <v>1</v>
      </c>
      <c r="I36" s="38">
        <v>1</v>
      </c>
      <c r="J36" s="38">
        <v>1</v>
      </c>
      <c r="K36" s="29">
        <f t="shared" si="3"/>
        <v>203484.77</v>
      </c>
    </row>
    <row r="37" spans="1:12" ht="26" x14ac:dyDescent="0.45">
      <c r="A37" s="25">
        <v>13</v>
      </c>
      <c r="B37" s="26" t="s">
        <v>37</v>
      </c>
      <c r="C37" s="37">
        <v>6</v>
      </c>
      <c r="D37" s="27" t="s">
        <v>36</v>
      </c>
      <c r="E37" s="27">
        <f>$K$24+K35</f>
        <v>1602242.3000000003</v>
      </c>
      <c r="F37" s="28" t="s">
        <v>38</v>
      </c>
      <c r="G37" s="27">
        <v>1</v>
      </c>
      <c r="H37" s="38">
        <v>1</v>
      </c>
      <c r="I37" s="38">
        <v>1</v>
      </c>
      <c r="J37" s="38">
        <v>1</v>
      </c>
      <c r="K37" s="29">
        <f>K35+ROUND(C37/100*E37*G37*H37*I37*J37,2)</f>
        <v>154046.91</v>
      </c>
    </row>
    <row r="38" spans="1:12" x14ac:dyDescent="0.45">
      <c r="A38" s="25">
        <v>14</v>
      </c>
      <c r="B38" s="26" t="s">
        <v>73</v>
      </c>
      <c r="C38" s="37">
        <v>0.1</v>
      </c>
      <c r="D38" s="27" t="s">
        <v>36</v>
      </c>
      <c r="E38" s="27">
        <f>K24+K32</f>
        <v>1999483.5700000003</v>
      </c>
      <c r="F38" s="28" t="s">
        <v>72</v>
      </c>
      <c r="G38" s="27">
        <v>56250</v>
      </c>
      <c r="H38" s="38">
        <v>1</v>
      </c>
      <c r="I38" s="38">
        <v>1</v>
      </c>
      <c r="J38" s="38">
        <v>1</v>
      </c>
      <c r="K38" s="29">
        <f>((E38-1000000)*0.1)+G38</f>
        <v>156198.35700000002</v>
      </c>
    </row>
    <row r="39" spans="1:12" x14ac:dyDescent="0.45">
      <c r="A39" s="30">
        <v>15</v>
      </c>
      <c r="B39" s="31" t="s">
        <v>39</v>
      </c>
      <c r="C39" s="31"/>
      <c r="D39" s="27" t="s">
        <v>25</v>
      </c>
      <c r="E39" s="27" t="s">
        <v>25</v>
      </c>
      <c r="F39" s="27" t="s">
        <v>25</v>
      </c>
      <c r="G39" s="27" t="s">
        <v>25</v>
      </c>
      <c r="H39" s="27" t="s">
        <v>25</v>
      </c>
      <c r="I39" s="27" t="s">
        <v>25</v>
      </c>
      <c r="J39" s="27" t="s">
        <v>25</v>
      </c>
      <c r="K39" s="32">
        <f>ROUND(SUM(K35:K38),2)</f>
        <v>571642.41</v>
      </c>
    </row>
    <row r="40" spans="1:12" x14ac:dyDescent="0.45">
      <c r="A40" s="30">
        <v>16</v>
      </c>
      <c r="B40" s="31" t="s">
        <v>40</v>
      </c>
      <c r="C40" s="31"/>
      <c r="D40" s="27" t="s">
        <v>25</v>
      </c>
      <c r="E40" s="27" t="s">
        <v>25</v>
      </c>
      <c r="F40" s="39" t="s">
        <v>25</v>
      </c>
      <c r="G40" s="27" t="s">
        <v>25</v>
      </c>
      <c r="H40" s="27" t="s">
        <v>25</v>
      </c>
      <c r="I40" s="27" t="s">
        <v>25</v>
      </c>
      <c r="J40" s="27" t="s">
        <v>25</v>
      </c>
      <c r="K40" s="32">
        <f>ROUND(K24+K32+K39,2)</f>
        <v>2571125.98</v>
      </c>
    </row>
    <row r="41" spans="1:12" ht="78" x14ac:dyDescent="0.45">
      <c r="A41" s="30">
        <v>17</v>
      </c>
      <c r="B41" s="40" t="s">
        <v>41</v>
      </c>
      <c r="C41" s="40"/>
      <c r="D41" s="41" t="s">
        <v>25</v>
      </c>
      <c r="E41" s="41" t="s">
        <v>25</v>
      </c>
      <c r="F41" s="39" t="s">
        <v>46</v>
      </c>
      <c r="G41" s="41" t="s">
        <v>25</v>
      </c>
      <c r="H41" s="27">
        <v>6.87</v>
      </c>
      <c r="I41" s="42">
        <v>1</v>
      </c>
      <c r="J41" s="41" t="s">
        <v>25</v>
      </c>
      <c r="K41" s="43">
        <f>ROUND(H41*K40,2)</f>
        <v>17663635.48</v>
      </c>
    </row>
    <row r="42" spans="1:12" ht="26" x14ac:dyDescent="0.45">
      <c r="A42" s="30">
        <v>18</v>
      </c>
      <c r="B42" s="44" t="s">
        <v>42</v>
      </c>
      <c r="C42" s="44"/>
      <c r="D42" s="29"/>
      <c r="E42" s="45"/>
      <c r="F42" s="46"/>
      <c r="G42" s="29"/>
      <c r="H42" s="29">
        <v>1</v>
      </c>
      <c r="I42" s="29"/>
      <c r="J42" s="29"/>
      <c r="K42" s="43">
        <f>K41*H42</f>
        <v>17663635.48</v>
      </c>
      <c r="L42" s="47"/>
    </row>
    <row r="43" spans="1:12" ht="28.5" customHeight="1" x14ac:dyDescent="0.45">
      <c r="B43" s="49"/>
      <c r="C43" s="49"/>
      <c r="D43" s="84"/>
      <c r="E43" s="84"/>
    </row>
    <row r="44" spans="1:12" ht="30" customHeight="1" x14ac:dyDescent="0.45">
      <c r="B44" s="50"/>
      <c r="C44" s="50"/>
      <c r="D44" s="84"/>
      <c r="E44" s="84"/>
    </row>
  </sheetData>
  <mergeCells count="27">
    <mergeCell ref="C34:D34"/>
    <mergeCell ref="G34:J34"/>
    <mergeCell ref="D43:E43"/>
    <mergeCell ref="D44:E44"/>
    <mergeCell ref="G15:G16"/>
    <mergeCell ref="H15:J15"/>
    <mergeCell ref="K15:K16"/>
    <mergeCell ref="A18:K18"/>
    <mergeCell ref="A25:K25"/>
    <mergeCell ref="A33:K33"/>
    <mergeCell ref="A11:C11"/>
    <mergeCell ref="D11:K11"/>
    <mergeCell ref="A13:C13"/>
    <mergeCell ref="D13:K13"/>
    <mergeCell ref="A15:A16"/>
    <mergeCell ref="B15:B16"/>
    <mergeCell ref="C15:C16"/>
    <mergeCell ref="D15:D16"/>
    <mergeCell ref="E15:E16"/>
    <mergeCell ref="F15:F16"/>
    <mergeCell ref="A9:C9"/>
    <mergeCell ref="D9:K9"/>
    <mergeCell ref="A2:K2"/>
    <mergeCell ref="A3:K3"/>
    <mergeCell ref="D5:H5"/>
    <mergeCell ref="A7:C7"/>
    <mergeCell ref="D7:K7"/>
  </mergeCells>
  <conditionalFormatting sqref="A26 A19 A21:A23 A28:A31">
    <cfRule type="expression" dxfId="4" priority="7" stopIfTrue="1">
      <formula>IF(#REF!="К",8,)</formula>
    </cfRule>
  </conditionalFormatting>
  <conditionalFormatting sqref="A35:A37">
    <cfRule type="expression" dxfId="3" priority="5" stopIfTrue="1">
      <formula>IF(#REF!="К",8,)</formula>
    </cfRule>
  </conditionalFormatting>
  <conditionalFormatting sqref="A20">
    <cfRule type="expression" dxfId="2" priority="3" stopIfTrue="1">
      <formula>IF(#REF!="К",8,)</formula>
    </cfRule>
  </conditionalFormatting>
  <conditionalFormatting sqref="A27">
    <cfRule type="expression" dxfId="1" priority="2" stopIfTrue="1">
      <formula>IF(#REF!="К",8,)</formula>
    </cfRule>
  </conditionalFormatting>
  <conditionalFormatting sqref="A38">
    <cfRule type="expression" dxfId="0" priority="1" stopIfTrue="1">
      <formula>IF(#REF!="К",8,)</formula>
    </cfRule>
  </conditionalFormatting>
  <pageMargins left="0.7" right="0.7" top="0.75" bottom="0.75" header="0.3" footer="0.3"/>
  <pageSetup paperSize="9" scale="58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№1_ИГДИ</vt:lpstr>
      <vt:lpstr>№1_ИГДИ!Область_печати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Неподоба</dc:creator>
  <cp:lastModifiedBy>Ксения Кузнецова</cp:lastModifiedBy>
  <dcterms:created xsi:type="dcterms:W3CDTF">2025-03-05T13:27:58Z</dcterms:created>
  <dcterms:modified xsi:type="dcterms:W3CDTF">2026-02-04T05:09:00Z</dcterms:modified>
</cp:coreProperties>
</file>