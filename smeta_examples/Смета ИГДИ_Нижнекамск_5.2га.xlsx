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eniya.kuznetsova\Desktop\Сметы_для\"/>
    </mc:Choice>
  </mc:AlternateContent>
  <bookViews>
    <workbookView xWindow="0" yWindow="0" windowWidth="38400" windowHeight="17700" tabRatio="918"/>
  </bookViews>
  <sheets>
    <sheet name="№1 ИГДИ" sheetId="35" r:id="rId1"/>
    <sheet name="№3 ИГФИ обр" sheetId="27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UTOEXEC">#REF!</definedName>
    <definedName name="\k">#REF!</definedName>
    <definedName name="\m">#REF!</definedName>
    <definedName name="\s">#REF!</definedName>
    <definedName name="\z">#REF!</definedName>
    <definedName name="__xlfn.BAHTTEXT" hidden="1">#NAME?</definedName>
    <definedName name="_FilterDatabase" localSheetId="0" hidden="1">#REF!</definedName>
    <definedName name="_FilterDatabase" hidden="1">#REF!</definedName>
    <definedName name="a">#REF!</definedName>
    <definedName name="asd">[1]топография!#REF!</definedName>
    <definedName name="dck">[2]топография!#REF!</definedName>
    <definedName name="ger">[1]топография!#REF!</definedName>
    <definedName name="Itog">#REF!</definedName>
    <definedName name="Print_Area" localSheetId="0">'№1 ИГДИ'!$A$1:$K$46</definedName>
    <definedName name="Print_Area" localSheetId="1">'№3 ИГФИ обр'!$A$1:$K$49</definedName>
    <definedName name="SM">#REF!</definedName>
    <definedName name="SM_SM">#REF!</definedName>
    <definedName name="SM_STO">#REF!</definedName>
    <definedName name="SM_STO1">#REF!</definedName>
    <definedName name="SM_STO2">#REF!</definedName>
    <definedName name="SM_STO3">#REF!</definedName>
    <definedName name="SM_STO4">#REF!</definedName>
    <definedName name="SUM_">#REF!</definedName>
    <definedName name="SUM_1">#REF!</definedName>
    <definedName name="SUM_3">#REF!</definedName>
    <definedName name="ZAK1">#REF!</definedName>
    <definedName name="ZAK2">#REF!</definedName>
    <definedName name="а">#REF!</definedName>
    <definedName name="а36">#REF!</definedName>
    <definedName name="АБ">[3]Лист2!$B$34:$B$49</definedName>
    <definedName name="бесконечность">[4]Лист2!$B$78:$B$85</definedName>
    <definedName name="бт">[3]Лист2!$B$99:$B$100</definedName>
    <definedName name="в">#REF!</definedName>
    <definedName name="внешний">[3]Лист2!$B$166:$B$172</definedName>
    <definedName name="внутренний">[3]Лист2!$B$127:$B$131</definedName>
    <definedName name="время">[3]Лист2!$B$174:$B$177</definedName>
    <definedName name="Всего_по_смете">#REF!</definedName>
    <definedName name="Вспомогательные_работы">#REF!</definedName>
    <definedName name="вукепр">#REF!</definedName>
    <definedName name="дбшл">[5]топография!#REF!</definedName>
    <definedName name="длор">#REF!</definedName>
    <definedName name="ДСК">[1]топография!#REF!</definedName>
    <definedName name="дьог">#REF!</definedName>
    <definedName name="ждл">[1]топография!#REF!</definedName>
    <definedName name="жщдбюд">#REF!</definedName>
    <definedName name="Зависимые">#REF!</definedName>
    <definedName name="Итого_по_разделу_V">#REF!</definedName>
    <definedName name="Итого_по_смете">#REF!</definedName>
    <definedName name="калплан">#REF!</definedName>
    <definedName name="Камералка" localSheetId="1">'№3 ИГФИ обр'!#REF!</definedName>
    <definedName name="Камеральных">#REF!</definedName>
    <definedName name="Каналы">[3]Лист2!$B$6:$B$13</definedName>
    <definedName name="КП23" localSheetId="0" hidden="1">#REF!</definedName>
    <definedName name="КП23" hidden="1">#REF!</definedName>
    <definedName name="Курс_доллара">'[6]Курс доллара'!$A$2</definedName>
    <definedName name="л">#REF!</definedName>
    <definedName name="лгоь">#REF!</definedName>
    <definedName name="лор">[7]топография!#REF!</definedName>
    <definedName name="лорп">#REF!</definedName>
    <definedName name="льб">#REF!</definedName>
    <definedName name="льогнрт">#REF!</definedName>
    <definedName name="о">#REF!</definedName>
    <definedName name="п">#REF!</definedName>
    <definedName name="план">[1]топография!#REF!</definedName>
    <definedName name="Поле" localSheetId="1">'№3 ИГФИ обр'!$K$32</definedName>
    <definedName name="Полевые">#REF!</definedName>
    <definedName name="полее">'№3 ИГФИ обр'!$K$32</definedName>
    <definedName name="привязка">[3]Лист2!$B$102:$B$111</definedName>
    <definedName name="про">#REF!</definedName>
    <definedName name="пробная">#REF!</definedName>
    <definedName name="профилирование">[4]Лист2!$B$94:$B$97</definedName>
    <definedName name="Прочие" localSheetId="1">'№3 ИГФИ обр'!$K$23</definedName>
    <definedName name="Прочие_работы">#REF!</definedName>
    <definedName name="районный">[3]Лист2!$B$208:$B$219</definedName>
    <definedName name="рол">#REF!</definedName>
    <definedName name="свод1">[5]топография!#REF!</definedName>
    <definedName name="север">[3]Лист2!$B$221:$B$224</definedName>
    <definedName name="сейсмаобр">[3]Лист2!$B$121:$B$125</definedName>
    <definedName name="Сейсмика">[3]Лист2!$B$16:$B$31</definedName>
    <definedName name="Тип">[8]Лист2!$B$1:$B$4</definedName>
    <definedName name="ф">#REF!</definedName>
    <definedName name="ы">[5]топография!#REF!</definedName>
    <definedName name="ыф">#REF!</definedName>
    <definedName name="Электра">[3]Лист2!$B$51:$B$75</definedName>
    <definedName name="эхзжю">[1]топография!#REF!</definedName>
    <definedName name="ю">[5]топография!#REF!</definedName>
    <definedName name="юб">#REF!</definedName>
    <definedName name="я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0" i="35" l="1"/>
  <c r="K23" i="35" l="1"/>
  <c r="K20" i="35" l="1"/>
  <c r="K27" i="35" l="1"/>
  <c r="K28" i="35"/>
  <c r="K29" i="35"/>
  <c r="K21" i="35"/>
  <c r="K22" i="35"/>
  <c r="K24" i="35" l="1"/>
  <c r="E39" i="35" s="1"/>
  <c r="K26" i="35"/>
  <c r="K31" i="35" s="1"/>
  <c r="E38" i="35" l="1"/>
  <c r="E35" i="35" l="1"/>
  <c r="K35" i="35" s="1"/>
  <c r="E36" i="35" l="1"/>
  <c r="K36" i="35" s="1"/>
  <c r="K38" i="35" s="1"/>
  <c r="E37" i="35"/>
  <c r="K37" i="35" s="1"/>
  <c r="K39" i="35" s="1"/>
  <c r="K40" i="35" l="1"/>
  <c r="K41" i="35" s="1"/>
  <c r="K42" i="35" s="1"/>
  <c r="I20" i="27"/>
  <c r="K20" i="27" s="1"/>
  <c r="I19" i="27"/>
  <c r="K19" i="27"/>
  <c r="K29" i="27" l="1"/>
  <c r="K27" i="27"/>
  <c r="K26" i="27"/>
  <c r="K21" i="27"/>
  <c r="K25" i="27" l="1"/>
  <c r="E24" i="27" l="1"/>
  <c r="K22" i="27"/>
  <c r="E33" i="27" s="1"/>
  <c r="K33" i="27" s="1"/>
  <c r="E34" i="27" s="1"/>
  <c r="K34" i="27" l="1"/>
  <c r="E35" i="27"/>
  <c r="K24" i="27"/>
  <c r="K30" i="27" s="1"/>
  <c r="K35" i="27" l="1"/>
  <c r="G28" i="27"/>
  <c r="K28" i="27" s="1"/>
  <c r="K31" i="27" s="1"/>
  <c r="E43" i="27" s="1"/>
  <c r="K43" i="27" s="1"/>
  <c r="E36" i="27" l="1"/>
  <c r="K36" i="27" l="1"/>
  <c r="E38" i="27" s="1"/>
  <c r="K38" i="27" s="1"/>
  <c r="E37" i="27"/>
  <c r="K37" i="27" s="1"/>
  <c r="K39" i="27" l="1"/>
  <c r="K40" i="27" s="1"/>
  <c r="K41" i="27" s="1"/>
  <c r="E42" i="27" l="1"/>
  <c r="K42" i="27" s="1"/>
  <c r="E44" i="27"/>
  <c r="K44" i="27" s="1"/>
  <c r="E45" i="27" l="1"/>
  <c r="K45" i="27" s="1"/>
</calcChain>
</file>

<file path=xl/sharedStrings.xml><?xml version="1.0" encoding="utf-8"?>
<sst xmlns="http://schemas.openxmlformats.org/spreadsheetml/2006/main" count="232" uniqueCount="135">
  <si>
    <t>на   изыскательские  работы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</si>
  <si>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</si>
  <si>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</si>
  <si>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</si>
  <si>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Наименование организации заказчика:</t>
  </si>
  <si>
    <t>Смета составлена по следующим документам:</t>
  </si>
  <si>
    <t>№
п/п</t>
  </si>
  <si>
    <t>Наименование работ и затрат</t>
  </si>
  <si>
    <t>Единица изме-рения</t>
  </si>
  <si>
    <t>Кол-во
(физ. объём)</t>
  </si>
  <si>
    <t>Расчёт стоимости /коэф-ты к расценке</t>
  </si>
  <si>
    <t>К1</t>
  </si>
  <si>
    <t>К2</t>
  </si>
  <si>
    <t>К3</t>
  </si>
  <si>
    <t>1. Полевые работы</t>
  </si>
  <si>
    <t>-</t>
  </si>
  <si>
    <t>Итого полевых работ:</t>
  </si>
  <si>
    <t>Расходы на организацию и ликвидацию полевых работ</t>
  </si>
  <si>
    <t>Итого прочих расходов:</t>
  </si>
  <si>
    <t>Итого камеральных работ:</t>
  </si>
  <si>
    <t>Инженерно-геодезические изыскания</t>
  </si>
  <si>
    <t>СБЦ на ИГДИ для строительства, 2004 г.</t>
  </si>
  <si>
    <t>Цена</t>
  </si>
  <si>
    <t>Расчёт стоимости /коэф-ты к цене</t>
  </si>
  <si>
    <t>СМЕТА № 1</t>
  </si>
  <si>
    <t>Обоснование стоимости (цена и коэф-ты)</t>
  </si>
  <si>
    <t>СМЕТА № 3</t>
  </si>
  <si>
    <r>
      <t xml:space="preserve">% от суммы </t>
    </r>
    <r>
      <rPr>
        <b/>
        <sz val="10"/>
        <rFont val="Times New Roman"/>
        <family val="1"/>
        <charset val="204"/>
      </rPr>
      <t>полевых</t>
    </r>
    <r>
      <rPr>
        <sz val="10"/>
        <rFont val="Times New Roman"/>
        <family val="1"/>
        <charset val="204"/>
      </rPr>
      <t xml:space="preserve"> работ</t>
    </r>
  </si>
  <si>
    <r>
      <t xml:space="preserve">% от суммы </t>
    </r>
    <r>
      <rPr>
        <b/>
        <sz val="10"/>
        <rFont val="Times New Roman"/>
        <family val="1"/>
        <charset val="204"/>
      </rPr>
      <t>полевых</t>
    </r>
    <r>
      <rPr>
        <sz val="10"/>
        <rFont val="Times New Roman"/>
        <family val="1"/>
        <charset val="204"/>
      </rPr>
      <t xml:space="preserve"> работ с учетом расходов по внутреннему транспорту</t>
    </r>
  </si>
  <si>
    <t>% от суммы полевых работ с учетом расходов по внутреннему транспорту</t>
  </si>
  <si>
    <t>ОУ п.8 г, Табл. 2 п.3 Приложение 2</t>
  </si>
  <si>
    <t>га</t>
  </si>
  <si>
    <t>Всего по смете в ценах СБЦ на 2001 г.</t>
  </si>
  <si>
    <t>%</t>
  </si>
  <si>
    <t>3. Прочие расходы</t>
  </si>
  <si>
    <t>Стоимость проверки полноты планов в эксплуатирующих организациях</t>
  </si>
  <si>
    <t>т. 75, прим. 3</t>
  </si>
  <si>
    <t>2. Камеральные работы</t>
  </si>
  <si>
    <r>
      <t xml:space="preserve">3. Прочие расходы
</t>
    </r>
    <r>
      <rPr>
        <sz val="10"/>
        <rFont val="Times New Roman"/>
        <family val="1"/>
        <charset val="204"/>
      </rPr>
      <t>(применяются к полевым и выполняемым в экспедиционных условиях камеральным работам)</t>
    </r>
  </si>
  <si>
    <t>Итого по смете, с учетом индекса  изменения сметной стоимости изыскательских работ</t>
  </si>
  <si>
    <t>Стоимость,
руб. без НДС</t>
  </si>
  <si>
    <t>Катег. сл-ти</t>
  </si>
  <si>
    <t>Стоимость,
руб., коп. без НДС</t>
  </si>
  <si>
    <t>II</t>
  </si>
  <si>
    <t>Итого основных полевых работ:</t>
  </si>
  <si>
    <t>1 отчет</t>
  </si>
  <si>
    <t>Итого прочие расходы:</t>
  </si>
  <si>
    <t>1 программа</t>
  </si>
  <si>
    <t>Составление технического отчета</t>
  </si>
  <si>
    <t>Выдача промежуточных материалов</t>
  </si>
  <si>
    <t xml:space="preserve">ОУ п.15
</t>
  </si>
  <si>
    <t>Метрологическое обеспечение единства и точности средств измерений и амортизационным отчислениям по производственному оборудованию</t>
  </si>
  <si>
    <t>СЦиР-1982, и СБЦ-1999</t>
  </si>
  <si>
    <t>1 измерение</t>
  </si>
  <si>
    <r>
      <t xml:space="preserve">Составление программы при стоимости изысканий,тыс.руб: 
</t>
    </r>
    <r>
      <rPr>
        <sz val="10"/>
        <color rgb="FF0000FF"/>
        <rFont val="Times New Roman"/>
        <family val="1"/>
        <charset val="204"/>
      </rPr>
      <t>св. 25 до 50</t>
    </r>
  </si>
  <si>
    <t>1 физическое наблюдение</t>
  </si>
  <si>
    <t>Итого камеральные работы (без отчета и программы)</t>
  </si>
  <si>
    <t>Определение удельного электрического сопротивления грунта</t>
  </si>
  <si>
    <t>10 определений</t>
  </si>
  <si>
    <t>Обработка результатов измерений разности потенциалов самопишущими приборами</t>
  </si>
  <si>
    <t>1 дм ленты</t>
  </si>
  <si>
    <t xml:space="preserve">ОУ п.13 </t>
  </si>
  <si>
    <r>
      <t xml:space="preserve">Симметричная установка АВ. Длина установки, м: </t>
    </r>
    <r>
      <rPr>
        <sz val="10"/>
        <color rgb="FF0000FF"/>
        <rFont val="Times New Roman"/>
        <family val="1"/>
        <charset val="204"/>
      </rPr>
      <t>до 50.</t>
    </r>
  </si>
  <si>
    <t>Письмо Госстроя России от 04.01.2001 № АШ-9/10</t>
  </si>
  <si>
    <t>ОУ п.8д
т.3 §2</t>
  </si>
  <si>
    <t>ОУ п.8д
т.3 §5</t>
  </si>
  <si>
    <r>
      <t xml:space="preserve">Районная надбавка от полевых работ. Районный коэффициент к зар. плате </t>
    </r>
    <r>
      <rPr>
        <b/>
        <sz val="10"/>
        <color rgb="FF0000FF"/>
        <rFont val="Times New Roman"/>
        <family val="1"/>
        <charset val="204"/>
      </rPr>
      <t>1.3</t>
    </r>
  </si>
  <si>
    <r>
      <t xml:space="preserve">Районная надбавка (камеральные работы). Районный коэффициент к зар. плате </t>
    </r>
    <r>
      <rPr>
        <b/>
        <sz val="10"/>
        <color rgb="FF0000FF"/>
        <rFont val="Times New Roman"/>
        <family val="1"/>
        <charset val="204"/>
      </rPr>
      <t>1.15</t>
    </r>
  </si>
  <si>
    <r>
      <t xml:space="preserve">Измерение разности потенциалов между подземными сооружениями (рельсом) и землей или двумя точками земли при </t>
    </r>
    <r>
      <rPr>
        <sz val="10"/>
        <color rgb="FF0000FF"/>
        <rFont val="Times New Roman"/>
        <family val="1"/>
        <charset val="204"/>
      </rPr>
      <t>расстоянии между точками измерения до 200 м самопишущим прибором при длительности записи св.3 ч (без наблюдения за регистрацией).</t>
    </r>
  </si>
  <si>
    <t>Письмо  Минстроя России от</t>
  </si>
  <si>
    <t xml:space="preserve">
постановление Госстроя СССР от 1 марта 1990 г. N 22
К=1,05 (Постановление 22)</t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</si>
  <si>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</si>
  <si>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</si>
  <si>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</si>
  <si>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</si>
  <si>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п.13 ОУ</t>
  </si>
  <si>
    <t>Составил ______________________</t>
  </si>
  <si>
    <t>Утвердил_______________________</t>
  </si>
  <si>
    <t>Примечание к шаблону: 
При отсутствии необходимости применения коэффициента (=1.0), данному значению следует присвоить цвет шрифта "белый", для исключения его отображения при печати.</t>
  </si>
  <si>
    <t xml:space="preserve">т.283 §5
</t>
  </si>
  <si>
    <t>Сборник цен на изыскательские работы для капитального строительства. 1982 г. Часть IV т.267 п.2</t>
  </si>
  <si>
    <t xml:space="preserve">т.293 §3
</t>
  </si>
  <si>
    <t xml:space="preserve">т.293 §1
</t>
  </si>
  <si>
    <t xml:space="preserve">т.294 п.4
</t>
  </si>
  <si>
    <r>
      <t xml:space="preserve">т.294 п.10                              </t>
    </r>
    <r>
      <rPr>
        <sz val="10"/>
        <color rgb="FF0000FF"/>
        <rFont val="Times New Roman"/>
        <family val="1"/>
        <charset val="204"/>
      </rPr>
      <t xml:space="preserve">             
К1=1,2 т.294, прим.3 </t>
    </r>
  </si>
  <si>
    <t>Всего по смете в ценах СБЦ на 1991 г.</t>
  </si>
  <si>
    <t>ООО "ИТПИ"</t>
  </si>
  <si>
    <t>АО "НИПИГАЗ"</t>
  </si>
  <si>
    <t>служба</t>
  </si>
  <si>
    <t>Симметричная установка АВ. Длина установки, м: св. 100 до 250.</t>
  </si>
  <si>
    <t xml:space="preserve">т.267 §3
K1 = 1.15 т.265 п.3
K2 = 1.1 т.265 п.4
К3 = 1.1 О.П. п.5
К4 = 1.1 О.П. п.6
К5 = 1.8 т.265 п.7
</t>
  </si>
  <si>
    <t xml:space="preserve">т.283 §2
K1 = 1.3 т.283 п.2
K2 = 1.3 т.283 прим.
К3 = 1.1 О.П. п.5
К4 = 1.1 О.П. п.6
К5 = 1.8 т.265 п.7
</t>
  </si>
  <si>
    <t>Сезонный коэффициент (неблаг. период 6,5 мес. с 20.10 по 05.05) – 1,3 к полевым работам при работе в неблагоприятный период года</t>
  </si>
  <si>
    <t>Расходы по внутреннему транспорту. Расстояние от базы до участка изысканий св. 5 до 10 км. Сметная стоимость полевых изыск.работ до 5 тыс.руб</t>
  </si>
  <si>
    <t>ОУ п.8
Табл.4 п.5</t>
  </si>
  <si>
    <t>Расходы по внешнему транспорту. Расстояние проезда и перевозки в одном направлении свыше св. 4000 км.</t>
  </si>
  <si>
    <t>ОУ п.10
Табл.5 п.7</t>
  </si>
  <si>
    <t>Расходы на организацию полевых работ</t>
  </si>
  <si>
    <t>ОУ п.13, т. 6, п. 3</t>
  </si>
  <si>
    <t>Расходы на ликвидацию полевых работ</t>
  </si>
  <si>
    <t>Удорожание сметной стоимости полевых работ от районного коэффициента территории 1.15</t>
  </si>
  <si>
    <t xml:space="preserve">Производство  инженерных изысканий по объекту: «Амурский газоперерабатывающий завод. Этап 2. Железнодорожные коммуникации и сооружения. Развитие железнодорожной инфраструктуры необщего пользования. Железнодорожные коммуникации и сооружения. Развитие железнодорожной инфраструктуры необщего пользования Амурского газоперерабатывающего завода (2-й и 3-й этапы строительства)» </t>
  </si>
  <si>
    <t>Инженерно-геофизические исследования</t>
  </si>
  <si>
    <t>Измерение разности потенциалов между двумя  точками земли.</t>
  </si>
  <si>
    <t>пункт</t>
  </si>
  <si>
    <t>т. 8, п. 4, ОУ п.8 в)</t>
  </si>
  <si>
    <t xml:space="preserve">т. 8, п. 3, </t>
  </si>
  <si>
    <t>т. 8, п. 4</t>
  </si>
  <si>
    <t>""</t>
  </si>
  <si>
    <t>IIкат.</t>
  </si>
  <si>
    <t>Создание высотной опорной геодезической сети; IV класс, IIкат.</t>
  </si>
  <si>
    <t xml:space="preserve">Создание плановой опорной геодезической сети; 2 разряд, IIкат. </t>
  </si>
  <si>
    <t xml:space="preserve">Создание высотной опорной геодезической сети; IV класс, IIкат. </t>
  </si>
  <si>
    <t>т. 5 п. 4</t>
  </si>
  <si>
    <t xml:space="preserve">т. 8, п. 3, прим. 2
ОУ п.8 в) </t>
  </si>
  <si>
    <t>Удорожание полевых работ за счетрайонного коэффициента</t>
  </si>
  <si>
    <t>т. 3, п.2</t>
  </si>
  <si>
    <t>Письмо Минстроя России от 16.07.2025 N 41280-ИФ/09</t>
  </si>
  <si>
    <t>Выдача промежуточных материалов изысканий</t>
  </si>
  <si>
    <t>п.15 а) ОУ</t>
  </si>
  <si>
    <t>скважина</t>
  </si>
  <si>
    <t>Создание инженерно-топографического плана м-ба 1:500 сечение рельефа 0,5 (съемка подземных коммуникаций) территория застроенная, Iкат.</t>
  </si>
  <si>
    <t xml:space="preserve">Iкат. </t>
  </si>
  <si>
    <t>т. 9, п. 4,  прим.4</t>
  </si>
  <si>
    <t xml:space="preserve">Создание плановой опорной геодезической сети спутниковым методом; 2 разряд, IIкат. </t>
  </si>
  <si>
    <t>Планово-высотная привязка геологических скважин (до. 50 м между скважинами)</t>
  </si>
  <si>
    <t>Iкат.</t>
  </si>
  <si>
    <t>т. 48, п. 1</t>
  </si>
  <si>
    <t>т. 9, п. 4,  прим.4, ОУ 15г,д</t>
  </si>
  <si>
    <t>Создание инженерно-топографического плана м-ба 1:500 сечение рельефа 0,5 (съемка подземных коммуникаций) территория застроенная (составление плана в цвете, с применением компьютерных технологий), Iкат.</t>
  </si>
  <si>
    <t>Расходы по внутреннему транспорту (Расстояние от базы - до 5 км)</t>
  </si>
  <si>
    <t>т. 4, п. 1</t>
  </si>
  <si>
    <t>Расходы по внешнему транспорту (расстояние проезда - от 1000 до 2000км, продолжительность экспедиции 1 мес).</t>
  </si>
  <si>
    <t>Выдача координат и высот исходных пунктов</t>
  </si>
  <si>
    <t>т.81, п. 2, п.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</si>
</sst>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%"/>
    <numFmt numFmtId="165" formatCode="0.0"/>
    <numFmt numFmtId="166" formatCode="_-* #,##0.00_р_._-;\-* #,##0.00_р_._-;_-* &quot;-&quot;??_р_._-;_-@_-"/>
    <numFmt numFmtId="167" formatCode="#,##0.00\ _₽"/>
    <numFmt numFmtId="168" formatCode="#,##0.0"/>
    <numFmt numFmtId="169" formatCode="#,##0\ _₽"/>
  </numFmts>
  <fonts count="31" x14ac:knownFonts="1"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Courier"/>
      <family val="3"/>
    </font>
    <font>
      <sz val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color rgb="FFFF000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8"/>
      <name val="Times New Roman"/>
      <family val="1"/>
      <charset val="204"/>
    </font>
    <font>
      <sz val="10"/>
      <color indexed="6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18" fillId="0" borderId="0"/>
    <xf numFmtId="0" fontId="6" fillId="0" borderId="0"/>
    <xf numFmtId="0" fontId="20" fillId="0" borderId="0"/>
    <xf numFmtId="166" fontId="6" fillId="0" borderId="0" applyFont="0" applyFill="0" applyBorder="0" applyAlignment="0" applyProtection="0"/>
    <xf numFmtId="0" fontId="21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13" fillId="0" borderId="0"/>
    <xf numFmtId="0" fontId="27" fillId="0" borderId="0"/>
    <xf numFmtId="0" fontId="18" fillId="0" borderId="0"/>
    <xf numFmtId="0" fontId="30" fillId="0" borderId="0">
      <alignment horizontal="center" vertical="center"/>
    </xf>
    <xf numFmtId="0" fontId="30" fillId="0" borderId="0">
      <alignment horizontal="left" vertical="center"/>
    </xf>
    <xf numFmtId="0" fontId="4" fillId="0" borderId="0"/>
    <xf numFmtId="43" fontId="19" fillId="0" borderId="0" applyFont="0" applyFill="0" applyBorder="0" applyAlignment="0" applyProtection="0"/>
    <xf numFmtId="0" fontId="4" fillId="0" borderId="0"/>
    <xf numFmtId="43" fontId="19" fillId="0" borderId="0" applyFont="0" applyFill="0" applyBorder="0" applyAlignment="0" applyProtection="0"/>
    <xf numFmtId="0" fontId="3" fillId="0" borderId="0"/>
    <xf numFmtId="43" fontId="19" fillId="0" borderId="0" applyFont="0" applyFill="0" applyBorder="0" applyAlignment="0" applyProtection="0"/>
    <xf numFmtId="0" fontId="3" fillId="0" borderId="0"/>
    <xf numFmtId="43" fontId="19" fillId="0" borderId="0" applyFont="0" applyFill="0" applyBorder="0" applyAlignment="0" applyProtection="0"/>
    <xf numFmtId="0" fontId="28" fillId="0" borderId="0">
      <alignment horizontal="center" vertical="center"/>
    </xf>
    <xf numFmtId="0" fontId="28" fillId="0" borderId="0">
      <alignment horizontal="left" vertical="center"/>
    </xf>
    <xf numFmtId="44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1" fillId="0" borderId="0"/>
  </cellStyleXfs>
  <cellXfs count="181">
    <xf numFmtId="0" fontId="0" fillId="0" borderId="0" xfId="0"/>
    <xf numFmtId="0" fontId="9" fillId="0" borderId="0" xfId="2" applyFont="1" applyAlignment="1" applyProtection="1">
      <alignment horizontal="left"/>
      <protection locked="0"/>
    </xf>
    <xf numFmtId="0" fontId="9" fillId="0" borderId="0" xfId="2" applyFont="1"/>
    <xf numFmtId="0" fontId="8" fillId="0" borderId="0" xfId="2" applyFont="1"/>
    <xf numFmtId="2" fontId="8" fillId="0" borderId="0" xfId="2" applyNumberFormat="1" applyFont="1"/>
    <xf numFmtId="0" fontId="8" fillId="0" borderId="0" xfId="2" applyFont="1" applyProtection="1">
      <protection locked="0"/>
    </xf>
    <xf numFmtId="0" fontId="7" fillId="0" borderId="0" xfId="3" applyFont="1" applyAlignment="1" applyProtection="1">
      <alignment vertical="top"/>
      <protection hidden="1"/>
    </xf>
    <xf numFmtId="0" fontId="8" fillId="0" borderId="0" xfId="3" applyFont="1" applyAlignment="1">
      <alignment vertical="top"/>
    </xf>
    <xf numFmtId="1" fontId="8" fillId="0" borderId="0" xfId="3" applyNumberFormat="1" applyFont="1" applyAlignment="1">
      <alignment vertical="top"/>
    </xf>
    <xf numFmtId="0" fontId="7" fillId="0" borderId="2" xfId="4" applyFont="1" applyBorder="1" applyAlignment="1">
      <alignment horizontal="right"/>
    </xf>
    <xf numFmtId="0" fontId="8" fillId="0" borderId="2" xfId="4" applyFont="1" applyBorder="1"/>
    <xf numFmtId="2" fontId="8" fillId="0" borderId="2" xfId="4" applyNumberFormat="1" applyFont="1" applyBorder="1"/>
    <xf numFmtId="165" fontId="8" fillId="0" borderId="2" xfId="4" applyNumberFormat="1" applyFont="1" applyBorder="1"/>
    <xf numFmtId="1" fontId="8" fillId="0" borderId="2" xfId="4" applyNumberFormat="1" applyFont="1" applyBorder="1"/>
    <xf numFmtId="0" fontId="7" fillId="2" borderId="5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8" fillId="0" borderId="1" xfId="3" quotePrefix="1" applyFont="1" applyBorder="1" applyAlignment="1">
      <alignment horizontal="left" vertical="center" wrapText="1"/>
    </xf>
    <xf numFmtId="2" fontId="8" fillId="0" borderId="1" xfId="3" applyNumberFormat="1" applyFont="1" applyBorder="1" applyAlignment="1">
      <alignment horizontal="center" vertical="center"/>
    </xf>
    <xf numFmtId="2" fontId="8" fillId="0" borderId="1" xfId="5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 wrapText="1"/>
    </xf>
    <xf numFmtId="0" fontId="7" fillId="0" borderId="0" xfId="4" applyFont="1" applyAlignment="1" applyProtection="1">
      <alignment horizontal="right" vertical="top"/>
      <protection hidden="1"/>
    </xf>
    <xf numFmtId="0" fontId="8" fillId="0" borderId="0" xfId="4" applyFont="1" applyAlignment="1">
      <alignment vertical="top"/>
    </xf>
    <xf numFmtId="165" fontId="8" fillId="0" borderId="0" xfId="4" applyNumberFormat="1" applyFont="1" applyAlignment="1">
      <alignment vertical="top"/>
    </xf>
    <xf numFmtId="4" fontId="7" fillId="0" borderId="0" xfId="4" applyNumberFormat="1" applyFont="1" applyAlignment="1">
      <alignment vertical="top"/>
    </xf>
    <xf numFmtId="165" fontId="7" fillId="2" borderId="1" xfId="4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left"/>
    </xf>
    <xf numFmtId="0" fontId="8" fillId="0" borderId="0" xfId="2" applyFont="1" applyAlignment="1" applyProtection="1">
      <alignment horizontal="center"/>
      <protection locked="0"/>
    </xf>
    <xf numFmtId="0" fontId="11" fillId="0" borderId="0" xfId="3" applyFont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5" fillId="0" borderId="1" xfId="3" applyNumberFormat="1" applyFont="1" applyBorder="1" applyAlignment="1">
      <alignment horizontal="center" vertical="center"/>
    </xf>
    <xf numFmtId="0" fontId="7" fillId="0" borderId="0" xfId="5" applyFont="1" applyAlignment="1" applyProtection="1">
      <alignment horizontal="center" vertical="center"/>
      <protection hidden="1"/>
    </xf>
    <xf numFmtId="0" fontId="7" fillId="0" borderId="0" xfId="5" applyFont="1" applyAlignment="1">
      <alignment horizontal="left" vertical="center" wrapText="1"/>
    </xf>
    <xf numFmtId="2" fontId="8" fillId="0" borderId="0" xfId="5" applyNumberFormat="1" applyFont="1" applyAlignment="1">
      <alignment horizontal="center" vertical="center"/>
    </xf>
    <xf numFmtId="1" fontId="8" fillId="0" borderId="0" xfId="5" applyNumberFormat="1" applyFont="1" applyAlignment="1">
      <alignment horizontal="center" vertical="center"/>
    </xf>
    <xf numFmtId="0" fontId="11" fillId="0" borderId="0" xfId="5" applyFont="1" applyAlignment="1">
      <alignment horizontal="left" vertical="center" wrapText="1"/>
    </xf>
    <xf numFmtId="3" fontId="7" fillId="0" borderId="0" xfId="5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wrapText="1"/>
    </xf>
    <xf numFmtId="49" fontId="13" fillId="0" borderId="0" xfId="0" applyNumberFormat="1" applyFont="1" applyAlignment="1">
      <alignment vertical="top" wrapText="1"/>
    </xf>
    <xf numFmtId="0" fontId="8" fillId="0" borderId="2" xfId="2" applyFont="1" applyBorder="1" applyProtection="1">
      <protection locked="0"/>
    </xf>
    <xf numFmtId="0" fontId="8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4" fontId="7" fillId="0" borderId="1" xfId="5" applyNumberFormat="1" applyFont="1" applyBorder="1" applyAlignment="1">
      <alignment horizontal="center" vertical="center"/>
    </xf>
    <xf numFmtId="2" fontId="7" fillId="0" borderId="1" xfId="5" applyNumberFormat="1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 wrapText="1"/>
    </xf>
    <xf numFmtId="2" fontId="8" fillId="0" borderId="1" xfId="12" applyNumberFormat="1" applyFont="1" applyBorder="1" applyAlignment="1">
      <alignment horizontal="center" vertical="center"/>
    </xf>
    <xf numFmtId="4" fontId="7" fillId="0" borderId="1" xfId="12" applyNumberFormat="1" applyFont="1" applyBorder="1" applyAlignment="1">
      <alignment horizontal="center" vertical="center"/>
    </xf>
    <xf numFmtId="0" fontId="8" fillId="0" borderId="13" xfId="13" applyFont="1" applyBorder="1" applyAlignment="1">
      <alignment horizontal="left" vertical="top" wrapText="1"/>
    </xf>
    <xf numFmtId="0" fontId="22" fillId="0" borderId="1" xfId="12" applyFont="1" applyBorder="1" applyAlignment="1">
      <alignment horizontal="center" vertical="center" wrapText="1"/>
    </xf>
    <xf numFmtId="0" fontId="8" fillId="0" borderId="1" xfId="13" applyFont="1" applyBorder="1" applyAlignment="1">
      <alignment horizontal="center" vertical="center" wrapText="1"/>
    </xf>
    <xf numFmtId="0" fontId="8" fillId="0" borderId="1" xfId="13" applyFont="1" applyBorder="1" applyAlignment="1">
      <alignment horizontal="center" vertical="center"/>
    </xf>
    <xf numFmtId="167" fontId="8" fillId="0" borderId="1" xfId="13" applyNumberFormat="1" applyFont="1" applyBorder="1" applyAlignment="1">
      <alignment horizontal="center" vertical="center"/>
    </xf>
    <xf numFmtId="0" fontId="8" fillId="0" borderId="1" xfId="13" applyFont="1" applyBorder="1" applyAlignment="1">
      <alignment horizontal="left" vertical="center" wrapText="1"/>
    </xf>
    <xf numFmtId="167" fontId="8" fillId="0" borderId="1" xfId="13" applyNumberFormat="1" applyFont="1" applyBorder="1" applyAlignment="1">
      <alignment horizontal="center" vertical="center" wrapText="1"/>
    </xf>
    <xf numFmtId="0" fontId="8" fillId="0" borderId="1" xfId="13" applyFont="1" applyBorder="1" applyAlignment="1">
      <alignment horizontal="left" vertical="top" wrapText="1"/>
    </xf>
    <xf numFmtId="165" fontId="8" fillId="0" borderId="1" xfId="13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7" fillId="0" borderId="1" xfId="13" applyFont="1" applyBorder="1" applyAlignment="1">
      <alignment horizontal="left" vertical="center" wrapText="1"/>
    </xf>
    <xf numFmtId="167" fontId="8" fillId="0" borderId="1" xfId="13" applyNumberFormat="1" applyFont="1" applyBorder="1" applyAlignment="1" applyProtection="1">
      <alignment horizontal="center" vertical="center"/>
      <protection locked="0"/>
    </xf>
    <xf numFmtId="1" fontId="8" fillId="0" borderId="1" xfId="13" applyNumberFormat="1" applyFont="1" applyBorder="1" applyAlignment="1">
      <alignment horizontal="center" vertical="center"/>
    </xf>
    <xf numFmtId="0" fontId="14" fillId="0" borderId="0" xfId="2" applyFont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9" fontId="15" fillId="0" borderId="1" xfId="12" applyNumberFormat="1" applyFont="1" applyBorder="1" applyAlignment="1">
      <alignment horizontal="center" vertical="center"/>
    </xf>
    <xf numFmtId="3" fontId="15" fillId="0" borderId="1" xfId="13" applyNumberFormat="1" applyFont="1" applyBorder="1" applyAlignment="1" applyProtection="1">
      <alignment horizontal="center" vertical="center"/>
      <protection locked="0"/>
    </xf>
    <xf numFmtId="0" fontId="15" fillId="0" borderId="1" xfId="12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15" fillId="0" borderId="1" xfId="12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169" fontId="8" fillId="0" borderId="1" xfId="13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9" fontId="15" fillId="0" borderId="1" xfId="13" applyNumberFormat="1" applyFont="1" applyBorder="1" applyAlignment="1">
      <alignment horizontal="center" vertical="center"/>
    </xf>
    <xf numFmtId="2" fontId="15" fillId="0" borderId="1" xfId="13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8" fillId="0" borderId="1" xfId="3" quotePrefix="1" applyFont="1" applyBorder="1" applyAlignment="1">
      <alignment horizontal="center" vertical="center" wrapText="1"/>
    </xf>
    <xf numFmtId="2" fontId="25" fillId="0" borderId="1" xfId="3" applyNumberFormat="1" applyFont="1" applyBorder="1" applyAlignment="1">
      <alignment horizontal="center" vertical="center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7" fillId="0" borderId="13" xfId="4" applyFont="1" applyBorder="1" applyAlignment="1">
      <alignment vertical="center"/>
    </xf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5" borderId="1" xfId="3" quotePrefix="1" applyFont="1" applyFill="1" applyBorder="1" applyAlignment="1">
      <alignment horizontal="left" vertical="center" wrapText="1"/>
    </xf>
    <xf numFmtId="167" fontId="26" fillId="0" borderId="1" xfId="13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4" fontId="8" fillId="0" borderId="1" xfId="1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4" xfId="4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wrapText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8" fillId="0" borderId="1" xfId="4" applyFont="1" applyBorder="1" applyAlignment="1" applyProtection="1">
      <alignment horizontal="center" vertical="center"/>
      <protection hidden="1"/>
    </xf>
    <xf numFmtId="0" fontId="7" fillId="0" borderId="1" xfId="3" applyFont="1" applyBorder="1" applyAlignment="1" applyProtection="1">
      <alignment horizontal="center" vertical="center"/>
      <protection hidden="1"/>
    </xf>
    <xf numFmtId="0" fontId="7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 wrapText="1"/>
    </xf>
    <xf numFmtId="0" fontId="8" fillId="0" borderId="1" xfId="3" applyFont="1" applyBorder="1" applyAlignment="1" applyProtection="1">
      <alignment horizontal="center" vertical="center"/>
      <protection hidden="1"/>
    </xf>
    <xf numFmtId="0" fontId="9" fillId="3" borderId="23" xfId="3" applyFont="1" applyFill="1" applyBorder="1" applyAlignment="1" applyProtection="1">
      <alignment horizontal="center" vertical="center"/>
      <protection hidden="1"/>
    </xf>
    <xf numFmtId="0" fontId="9" fillId="3" borderId="12" xfId="3" applyFont="1" applyFill="1" applyBorder="1" applyAlignment="1" applyProtection="1">
      <alignment horizontal="center" vertical="center"/>
      <protection hidden="1"/>
    </xf>
    <xf numFmtId="0" fontId="9" fillId="3" borderId="24" xfId="3" applyFont="1" applyFill="1" applyBorder="1" applyAlignment="1" applyProtection="1">
      <alignment horizontal="center" vertical="center"/>
      <protection hidden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9" fillId="3" borderId="13" xfId="3" applyFont="1" applyFill="1" applyBorder="1" applyAlignment="1" applyProtection="1">
      <alignment horizontal="center" vertical="center"/>
      <protection hidden="1"/>
    </xf>
    <xf numFmtId="0" fontId="9" fillId="3" borderId="15" xfId="3" applyFont="1" applyFill="1" applyBorder="1" applyAlignment="1" applyProtection="1">
      <alignment horizontal="center" vertical="center"/>
      <protection hidden="1"/>
    </xf>
    <xf numFmtId="0" fontId="9" fillId="3" borderId="13" xfId="3" applyFont="1" applyFill="1" applyBorder="1" applyAlignment="1" applyProtection="1">
      <alignment horizontal="center" vertical="center" wrapText="1"/>
      <protection hidden="1"/>
    </xf>
    <xf numFmtId="0" fontId="9" fillId="3" borderId="14" xfId="3" applyFont="1" applyFill="1" applyBorder="1" applyAlignment="1" applyProtection="1">
      <alignment horizontal="center" vertical="center" wrapText="1"/>
      <protection hidden="1"/>
    </xf>
    <xf numFmtId="0" fontId="9" fillId="3" borderId="15" xfId="3" applyFont="1" applyFill="1" applyBorder="1" applyAlignment="1" applyProtection="1">
      <alignment horizontal="center" vertical="center" wrapText="1"/>
      <protection hidden="1"/>
    </xf>
    <xf numFmtId="0" fontId="8" fillId="0" borderId="1" xfId="3" quotePrefix="1" applyFont="1" applyFill="1" applyBorder="1" applyAlignment="1">
      <alignment horizontal="left" vertical="center" wrapText="1"/>
    </xf>
    <xf numFmtId="0" fontId="8" fillId="0" borderId="1" xfId="3" quotePrefix="1" applyFont="1" applyFill="1" applyBorder="1" applyAlignment="1">
      <alignment horizontal="center" vertical="center" wrapText="1"/>
    </xf>
    <xf numFmtId="2" fontId="8" fillId="0" borderId="1" xfId="3" applyNumberFormat="1" applyFont="1" applyFill="1" applyBorder="1" applyAlignment="1">
      <alignment horizontal="center" vertical="center"/>
    </xf>
    <xf numFmtId="2" fontId="8" fillId="0" borderId="1" xfId="5" applyNumberFormat="1" applyFont="1" applyFill="1" applyBorder="1" applyAlignment="1">
      <alignment horizontal="center" vertical="center"/>
    </xf>
    <xf numFmtId="0" fontId="0" fillId="0" borderId="0" xfId="0" applyFill="1"/>
    <xf numFmtId="0" fontId="8" fillId="0" borderId="1" xfId="4" applyFont="1" applyFill="1" applyBorder="1" applyAlignment="1" applyProtection="1">
      <alignment horizontal="center" vertical="center"/>
      <protection hidden="1"/>
    </xf>
    <xf numFmtId="1" fontId="8" fillId="0" borderId="1" xfId="3" applyNumberFormat="1" applyFont="1" applyFill="1" applyBorder="1" applyAlignment="1">
      <alignment horizontal="center" vertical="center"/>
    </xf>
    <xf numFmtId="2" fontId="25" fillId="0" borderId="1" xfId="3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left" vertical="top" wrapText="1"/>
    </xf>
    <xf numFmtId="165" fontId="7" fillId="2" borderId="4" xfId="4" applyNumberFormat="1" applyFont="1" applyFill="1" applyBorder="1" applyAlignment="1">
      <alignment horizontal="center" vertical="center" wrapText="1"/>
    </xf>
    <xf numFmtId="165" fontId="7" fillId="2" borderId="1" xfId="4" applyNumberFormat="1" applyFont="1" applyFill="1" applyBorder="1" applyAlignment="1">
      <alignment horizontal="center" vertical="center" wrapText="1"/>
    </xf>
    <xf numFmtId="1" fontId="7" fillId="2" borderId="4" xfId="4" applyNumberFormat="1" applyFont="1" applyFill="1" applyBorder="1" applyAlignment="1">
      <alignment horizontal="center" vertical="center" wrapText="1"/>
    </xf>
    <xf numFmtId="1" fontId="7" fillId="2" borderId="1" xfId="4" applyNumberFormat="1" applyFont="1" applyFill="1" applyBorder="1" applyAlignment="1">
      <alignment horizontal="center" vertical="center" wrapText="1"/>
    </xf>
    <xf numFmtId="0" fontId="9" fillId="3" borderId="8" xfId="3" applyFont="1" applyFill="1" applyBorder="1" applyAlignment="1" applyProtection="1">
      <alignment horizontal="center" vertical="center"/>
      <protection hidden="1"/>
    </xf>
    <xf numFmtId="0" fontId="9" fillId="3" borderId="9" xfId="3" applyFont="1" applyFill="1" applyBorder="1" applyAlignment="1" applyProtection="1">
      <alignment horizontal="center" vertical="center"/>
      <protection hidden="1"/>
    </xf>
    <xf numFmtId="0" fontId="9" fillId="3" borderId="10" xfId="3" applyFont="1" applyFill="1" applyBorder="1" applyAlignment="1" applyProtection="1">
      <alignment horizontal="center" vertical="center"/>
      <protection hidden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9" fillId="3" borderId="13" xfId="3" applyFont="1" applyFill="1" applyBorder="1" applyAlignment="1" applyProtection="1">
      <alignment horizontal="center" vertical="center"/>
      <protection hidden="1"/>
    </xf>
    <xf numFmtId="0" fontId="9" fillId="3" borderId="15" xfId="3" applyFont="1" applyFill="1" applyBorder="1" applyAlignment="1" applyProtection="1">
      <alignment horizontal="center" vertical="center"/>
      <protection hidden="1"/>
    </xf>
    <xf numFmtId="0" fontId="9" fillId="3" borderId="13" xfId="3" applyFont="1" applyFill="1" applyBorder="1" applyAlignment="1" applyProtection="1">
      <alignment horizontal="center" vertical="center" wrapText="1"/>
      <protection hidden="1"/>
    </xf>
    <xf numFmtId="0" fontId="9" fillId="3" borderId="14" xfId="3" applyFont="1" applyFill="1" applyBorder="1" applyAlignment="1" applyProtection="1">
      <alignment horizontal="center" vertical="center" wrapText="1"/>
      <protection hidden="1"/>
    </xf>
    <xf numFmtId="0" fontId="9" fillId="3" borderId="15" xfId="3" applyFont="1" applyFill="1" applyBorder="1" applyAlignment="1" applyProtection="1">
      <alignment horizontal="center" vertical="center" wrapText="1"/>
      <protection hidden="1"/>
    </xf>
    <xf numFmtId="0" fontId="7" fillId="2" borderId="4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 wrapText="1"/>
    </xf>
    <xf numFmtId="0" fontId="7" fillId="2" borderId="17" xfId="4" applyFont="1" applyFill="1" applyBorder="1" applyAlignment="1">
      <alignment horizontal="center" vertical="center" wrapText="1"/>
    </xf>
    <xf numFmtId="2" fontId="7" fillId="2" borderId="4" xfId="4" applyNumberFormat="1" applyFont="1" applyFill="1" applyBorder="1" applyAlignment="1">
      <alignment horizontal="center" vertical="center" wrapText="1"/>
    </xf>
    <xf numFmtId="2" fontId="7" fillId="2" borderId="1" xfId="4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3" xfId="3" applyFont="1" applyBorder="1" applyAlignment="1">
      <alignment horizontal="center" vertical="top"/>
    </xf>
    <xf numFmtId="0" fontId="11" fillId="0" borderId="0" xfId="3" applyFont="1" applyAlignment="1">
      <alignment horizontal="center" vertical="top"/>
    </xf>
    <xf numFmtId="0" fontId="8" fillId="0" borderId="0" xfId="2" applyFont="1" applyAlignment="1">
      <alignment horizontal="center" wrapText="1"/>
    </xf>
    <xf numFmtId="0" fontId="29" fillId="0" borderId="2" xfId="2" applyFont="1" applyBorder="1" applyAlignment="1" applyProtection="1">
      <alignment horizontal="left" wrapText="1"/>
      <protection locked="0"/>
    </xf>
    <xf numFmtId="0" fontId="8" fillId="0" borderId="0" xfId="2" applyFont="1" applyAlignment="1">
      <alignment horizontal="center"/>
    </xf>
    <xf numFmtId="0" fontId="9" fillId="0" borderId="2" xfId="2" applyFont="1" applyBorder="1" applyAlignment="1">
      <alignment horizontal="left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/>
    </xf>
    <xf numFmtId="0" fontId="8" fillId="0" borderId="2" xfId="2" applyFont="1" applyBorder="1" applyAlignment="1" applyProtection="1">
      <alignment horizontal="center"/>
      <protection locked="0"/>
    </xf>
    <xf numFmtId="0" fontId="8" fillId="0" borderId="0" xfId="2" applyFont="1" applyAlignment="1">
      <alignment horizontal="right"/>
    </xf>
    <xf numFmtId="0" fontId="7" fillId="0" borderId="13" xfId="13" applyFont="1" applyBorder="1" applyAlignment="1">
      <alignment horizontal="left" vertical="center" wrapText="1"/>
    </xf>
    <xf numFmtId="0" fontId="7" fillId="0" borderId="14" xfId="13" applyFont="1" applyBorder="1" applyAlignment="1">
      <alignment horizontal="left" vertical="center" wrapText="1"/>
    </xf>
    <xf numFmtId="0" fontId="7" fillId="0" borderId="13" xfId="13" applyFont="1" applyBorder="1" applyAlignment="1">
      <alignment horizontal="left" vertical="top" wrapText="1"/>
    </xf>
    <xf numFmtId="0" fontId="7" fillId="0" borderId="14" xfId="13" applyFont="1" applyBorder="1" applyAlignment="1">
      <alignment horizontal="left" vertical="top" wrapText="1"/>
    </xf>
    <xf numFmtId="0" fontId="7" fillId="0" borderId="15" xfId="13" applyFont="1" applyBorder="1" applyAlignment="1">
      <alignment horizontal="left" vertical="top" wrapText="1"/>
    </xf>
    <xf numFmtId="0" fontId="9" fillId="3" borderId="13" xfId="13" applyFont="1" applyFill="1" applyBorder="1" applyAlignment="1">
      <alignment horizontal="center" vertical="top" wrapText="1"/>
    </xf>
    <xf numFmtId="0" fontId="9" fillId="3" borderId="14" xfId="13" applyFont="1" applyFill="1" applyBorder="1" applyAlignment="1">
      <alignment horizontal="center" vertical="top" wrapText="1"/>
    </xf>
    <xf numFmtId="0" fontId="9" fillId="3" borderId="15" xfId="13" applyFont="1" applyFill="1" applyBorder="1" applyAlignment="1">
      <alignment horizontal="center" vertical="top" wrapText="1"/>
    </xf>
    <xf numFmtId="165" fontId="7" fillId="2" borderId="8" xfId="4" applyNumberFormat="1" applyFont="1" applyFill="1" applyBorder="1" applyAlignment="1">
      <alignment horizontal="center" vertical="center" wrapText="1"/>
    </xf>
    <xf numFmtId="165" fontId="7" fillId="2" borderId="9" xfId="4" applyNumberFormat="1" applyFont="1" applyFill="1" applyBorder="1" applyAlignment="1">
      <alignment horizontal="center" vertical="center" wrapText="1"/>
    </xf>
    <xf numFmtId="0" fontId="23" fillId="0" borderId="1" xfId="12" applyFont="1" applyBorder="1" applyAlignment="1">
      <alignment horizontal="left" vertical="center" wrapText="1"/>
    </xf>
    <xf numFmtId="165" fontId="7" fillId="2" borderId="19" xfId="4" applyNumberFormat="1" applyFont="1" applyFill="1" applyBorder="1" applyAlignment="1">
      <alignment horizontal="center" vertical="center" wrapText="1"/>
    </xf>
    <xf numFmtId="1" fontId="7" fillId="2" borderId="20" xfId="4" applyNumberFormat="1" applyFont="1" applyFill="1" applyBorder="1" applyAlignment="1">
      <alignment horizontal="center" vertical="center" wrapText="1"/>
    </xf>
    <xf numFmtId="1" fontId="7" fillId="2" borderId="22" xfId="4" applyNumberFormat="1" applyFont="1" applyFill="1" applyBorder="1" applyAlignment="1">
      <alignment horizontal="center" vertical="center" wrapText="1"/>
    </xf>
    <xf numFmtId="0" fontId="9" fillId="3" borderId="13" xfId="12" applyFont="1" applyFill="1" applyBorder="1" applyAlignment="1">
      <alignment horizontal="center" vertical="center" wrapText="1"/>
    </xf>
    <xf numFmtId="0" fontId="9" fillId="3" borderId="14" xfId="12" applyFont="1" applyFill="1" applyBorder="1" applyAlignment="1">
      <alignment horizontal="center" vertical="center" wrapText="1"/>
    </xf>
    <xf numFmtId="0" fontId="9" fillId="3" borderId="15" xfId="12" applyFont="1" applyFill="1" applyBorder="1" applyAlignment="1">
      <alignment horizontal="center" vertical="center" wrapText="1"/>
    </xf>
    <xf numFmtId="0" fontId="7" fillId="2" borderId="18" xfId="4" applyFont="1" applyFill="1" applyBorder="1" applyAlignment="1">
      <alignment horizontal="center" vertical="center" wrapText="1"/>
    </xf>
    <xf numFmtId="0" fontId="7" fillId="2" borderId="21" xfId="4" applyFont="1" applyFill="1" applyBorder="1" applyAlignment="1">
      <alignment horizontal="center" vertical="center" wrapText="1"/>
    </xf>
    <xf numFmtId="0" fontId="7" fillId="2" borderId="19" xfId="4" applyFont="1" applyFill="1" applyBorder="1" applyAlignment="1">
      <alignment horizontal="center" vertical="center" wrapText="1"/>
    </xf>
    <xf numFmtId="2" fontId="7" fillId="2" borderId="19" xfId="4" applyNumberFormat="1" applyFont="1" applyFill="1" applyBorder="1" applyAlignment="1">
      <alignment horizontal="center" vertical="center" wrapText="1"/>
    </xf>
    <xf numFmtId="0" fontId="7" fillId="0" borderId="13" xfId="4" applyFont="1" applyBorder="1" applyAlignment="1">
      <alignment horizontal="left" vertical="center"/>
    </xf>
    <xf numFmtId="0" fontId="7" fillId="0" borderId="14" xfId="4" applyFont="1" applyBorder="1" applyAlignment="1">
      <alignment horizontal="left" vertical="center"/>
    </xf>
    <xf numFmtId="0" fontId="7" fillId="0" borderId="15" xfId="4" applyFont="1" applyBorder="1" applyAlignment="1">
      <alignment horizontal="left" vertical="center"/>
    </xf>
  </cellXfs>
  <cellStyles count="42">
    <cellStyle name="Excel Built-in Normal" xfId="10"/>
    <cellStyle name="S10" xfId="21"/>
    <cellStyle name="S10 2" xfId="31"/>
    <cellStyle name="S11" xfId="20"/>
    <cellStyle name="S11 2" xfId="30"/>
    <cellStyle name="Денежный 2" xfId="32"/>
    <cellStyle name="Обычный" xfId="0" builtinId="0"/>
    <cellStyle name="Обычный 10" xfId="4"/>
    <cellStyle name="Обычный 10 2" xfId="8"/>
    <cellStyle name="Обычный 14" xfId="19"/>
    <cellStyle name="Обычный 2" xfId="6"/>
    <cellStyle name="Обычный 2 2" xfId="9"/>
    <cellStyle name="Обычный 2 3" xfId="15"/>
    <cellStyle name="Обычный 2 3 2" xfId="24"/>
    <cellStyle name="Обычный 2 3 2 2" xfId="39"/>
    <cellStyle name="Обычный 2 3 3" xfId="28"/>
    <cellStyle name="Обычный 2 3 4" xfId="35"/>
    <cellStyle name="Обычный 2 4" xfId="22"/>
    <cellStyle name="Обычный 2 4 2" xfId="37"/>
    <cellStyle name="Обычный 2 5" xfId="26"/>
    <cellStyle name="Обычный 2 6" xfId="33"/>
    <cellStyle name="Обычный 3" xfId="17"/>
    <cellStyle name="Обычный 3 2" xfId="1"/>
    <cellStyle name="Обычный 4" xfId="18"/>
    <cellStyle name="Обычный 5" xfId="7"/>
    <cellStyle name="Обычный 6" xfId="41"/>
    <cellStyle name="Обычный_6200_PRT" xfId="2"/>
    <cellStyle name="Обычный_6200РД" xfId="3"/>
    <cellStyle name="Обычный_6200РД 2" xfId="5"/>
    <cellStyle name="Обычный_Смета для 3 кат сложности" xfId="13"/>
    <cellStyle name="Обычный_Таз Нов Исполнит 2" xfId="12"/>
    <cellStyle name="Процентный 2" xfId="14"/>
    <cellStyle name="Финансовый 2" xfId="11"/>
    <cellStyle name="Финансовый 3" xfId="16"/>
    <cellStyle name="Финансовый 3 2" xfId="25"/>
    <cellStyle name="Финансовый 3 2 2" xfId="40"/>
    <cellStyle name="Финансовый 3 3" xfId="29"/>
    <cellStyle name="Финансовый 3 4" xfId="36"/>
    <cellStyle name="Финансовый 4" xfId="23"/>
    <cellStyle name="Финансовый 4 2" xfId="38"/>
    <cellStyle name="Финансовый 5" xfId="27"/>
    <cellStyle name="Финансовый 6" xfId="34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sibur.local\NIPI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Users\l.simacheva\Desktop\&#1057;&#1084;&#1077;&#1090;&#1072;%20&#1048;&#1043;&#10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Users\d.sherbina\Downloads\Telegram%20Desktop\&#1057;&#1084;&#1077;&#1090;&#1072;%20&#1048;&#1043;&#1060;%20&#1087;&#1088;&#1077;&#1076;&#1074;&#1072;&#1088;&#1080;&#1090;&#1077;&#1083;&#1100;&#1085;&#1072;&#1103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s\Zarplata_1\&#1044;&#1077;&#1085;&#1080;&#1089;\&#1089;&#1086;&#1093;&#1088;&#1072;&#1085;&#1080;&#1090;&#11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Lucenko\&#1084;&#1086;&#1080;%20&#1076;&#1086;&#1082;&#1091;&#1084;&#1077;&#1085;&#1090;\TEMP\ps1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&#1055;&#1088;&#1086;&#1077;&#1082;&#1090;&#1099;\&#1055;&#1086;&#1076;&#1088;&#1103;&#1076;\&#1056;&#1043;&#1048;%20&#1069;&#1055;-600\2-&#1057;&#1084;&#1077;&#1090;&#1072;%20&#1048;&#1043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Данные для расчёта сметы"/>
      <sheetName val="ПДР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вариант"/>
      <sheetName val="Обновление"/>
      <sheetName val="Цена"/>
      <sheetName val="Product"/>
      <sheetName val="Текущие цены"/>
      <sheetName val="рабочий"/>
      <sheetName val="окраска"/>
      <sheetName val="отчет эл_эн  2000"/>
      <sheetName val="Summary"/>
      <sheetName val="все"/>
      <sheetName val="свод 2"/>
      <sheetName val="информация"/>
      <sheetName val="к.84-к.83"/>
      <sheetName val="Зап-3- СЦБ"/>
      <sheetName val="Кредиты"/>
      <sheetName val="Табл38-7"/>
      <sheetName val="Пример расчета"/>
      <sheetName val="СметаСводная Рыб"/>
      <sheetName val="ПОДПИСИ"/>
      <sheetName val="13.1"/>
      <sheetName val="Счет-Фактура"/>
      <sheetName val="Коэфф1."/>
      <sheetName val="График"/>
      <sheetName val="РАСЧЕТ"/>
      <sheetName val="КП (2)"/>
      <sheetName val="Бюджет"/>
      <sheetName val="Norm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13_1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Lucent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Main list"/>
      <sheetName val="ПД-2.2"/>
      <sheetName val="6"/>
      <sheetName val="1.14"/>
      <sheetName val="1.7"/>
      <sheetName val="#ССЫЛКА"/>
      <sheetName val="СМ"/>
      <sheetName val="СМИС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См_3_АСУ"/>
      <sheetName val="Полигон_-_ИЭИ_"/>
      <sheetName val="Прил.5 СС"/>
      <sheetName val="расчет вязкости"/>
      <sheetName val="Сравнение с Finder - ДНС-5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Промер глуб"/>
      <sheetName val="SENSITIVITY"/>
      <sheetName val="Расчет №1.1"/>
      <sheetName val="Расчет №2.1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СВ"/>
      <sheetName val="Настройки"/>
      <sheetName val="Производство электроэнергии"/>
      <sheetName val="Т11"/>
      <sheetName val="Т12"/>
      <sheetName val="Т7"/>
      <sheetName val="Расч(подряд)"/>
      <sheetName val="GLOBAL"/>
      <sheetName val="Прочее"/>
      <sheetName val="ИНСТРУКЦИЯ"/>
      <sheetName val="темп"/>
      <sheetName val="ЛЧ Р"/>
      <sheetName val="2.1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  <sheetName val="таблица_руко "/>
      <sheetName val="ТЗ_АСУ-11"/>
      <sheetName val="лч_и_кам1"/>
      <sheetName val="Бл_электр_1"/>
      <sheetName val="2_Геология1"/>
      <sheetName val="Объем_работ1"/>
      <sheetName val="Виды_работ_АСО1"/>
      <sheetName val="ИД_СМР1"/>
      <sheetName val="ФОТ_для_смет1"/>
      <sheetName val="КБК_ДПК1"/>
      <sheetName val="Main_list1"/>
      <sheetName val="ПД-2_21"/>
      <sheetName val="1_141"/>
      <sheetName val="1_71"/>
      <sheetName val="Вспом_1"/>
      <sheetName val="ЕТС_(ф)1"/>
      <sheetName val="Индексы"/>
      <sheetName val="телемехан"/>
      <sheetName val="13_13"/>
      <sheetName val="Пояснение_2"/>
      <sheetName val="смета_2_проект__работы2"/>
      <sheetName val="СтрЗапасов_(2)2"/>
      <sheetName val="PwC_Copies_from_old_models_--&gt;2"/>
      <sheetName val="Сравнение_ДПН_факт_06-072"/>
      <sheetName val="НМ_расчеты2"/>
      <sheetName val="Коэф_КВ2"/>
      <sheetName val="Смета_терзем2"/>
      <sheetName val="Кал_план_Жукова_даты_-_не_надо2"/>
      <sheetName val="матер_2"/>
      <sheetName val="КП_Прим_(3)2"/>
      <sheetName val="кп_(3)2"/>
      <sheetName val="фонтан_разбитый22"/>
      <sheetName val="Баланс_(Ф1)2"/>
      <sheetName val="Смета_3_Гидролог2"/>
      <sheetName val="Записка_СЦБ2"/>
      <sheetName val="РС_2"/>
      <sheetName val="таблица_руко_2"/>
      <sheetName val="эл_химз_5"/>
      <sheetName val="геология_5"/>
      <sheetName val="6_145"/>
      <sheetName val="6_3_15"/>
      <sheetName val="6_205"/>
      <sheetName val="6_4_15"/>
      <sheetName val="6_11_1__сторонние5"/>
      <sheetName val="8_14_КР_(списание)ОПСТИКР5"/>
      <sheetName val="Данные_для_расчёта_сметы4"/>
      <sheetName val="6_14_КР4"/>
      <sheetName val="13_14"/>
      <sheetName val="свод_24"/>
      <sheetName val="Зап-3-_СЦБ4"/>
      <sheetName val="Пример_расчета4"/>
      <sheetName val="СметаСводная_Рыб4"/>
      <sheetName val="Текущие_цены4"/>
      <sheetName val="отчет_эл_эн__20004"/>
      <sheetName val="к_84-к_834"/>
      <sheetName val="Коэфф1_4"/>
      <sheetName val="6_33"/>
      <sheetName val="6_73"/>
      <sheetName val="6_3_1_33"/>
      <sheetName val="КП_(2)3"/>
      <sheetName val="свод_33"/>
      <sheetName val="Смета2_проект__раб_4"/>
      <sheetName val="Смета_14"/>
      <sheetName val="СМЕТА_проект3"/>
      <sheetName val="Production_and_Spend3"/>
      <sheetName val="Прайс_лист4"/>
      <sheetName val="1_33"/>
      <sheetName val="К_рын3"/>
      <sheetName val="Сводная_смета3"/>
      <sheetName val="См_1_наруж_водопровод4"/>
      <sheetName val="Разработка_проекта4"/>
      <sheetName val="КП_НовоКов4"/>
      <sheetName val="СметаСводная_1_оч4"/>
      <sheetName val="Переменные_и_константы3"/>
      <sheetName val="свод_(2)3"/>
      <sheetName val="Калплан_ОИ2_Макм_крестики3"/>
      <sheetName val="СметаСводная_павильон3"/>
      <sheetName val="Св__смета3"/>
      <sheetName val="РБС_ИЗМ13"/>
      <sheetName val="СметаСводная_снег3"/>
      <sheetName val="Лист_опроса3"/>
      <sheetName val="Исполнение__освоение_по_закупк3"/>
      <sheetName val="Исполнение_для_Ускова3"/>
      <sheetName val="Выборка_по_отсыпкам3"/>
      <sheetName val="ИП__отсыпки_3"/>
      <sheetName val="ИП__отсыпки_ФОТ_диз_т_3"/>
      <sheetName val="ИП__отсыпки___выборка_3"/>
      <sheetName val="Исполнение_по_оборуд_3"/>
      <sheetName val="Исполнение_по_оборуд___2_3"/>
      <sheetName val="Исполнение_сжато3"/>
      <sheetName val="Форма_для_бурения3"/>
      <sheetName val="Форма_для_КС3"/>
      <sheetName val="Форма_для_ГР3"/>
      <sheetName val="Смета_1свод3"/>
      <sheetName val="таблица_руководству3"/>
      <sheetName val="Суточная_добыча_за_неделю3"/>
      <sheetName val="Прибыль_опл3"/>
      <sheetName val="№5_СУБ_Инж_защ3"/>
      <sheetName val="HP_и_оргтехника3"/>
      <sheetName val="Таблица_23"/>
      <sheetName val="Таблица_4_АСУТП3"/>
      <sheetName val="ст_ГТМ3"/>
      <sheetName val="ПДР_ООО_&quot;Юкос_ФБЦ&quot;3"/>
      <sheetName val="исходные_данные3"/>
      <sheetName val="расчетные_таблицы3"/>
      <sheetName val="Амур_ДОН3"/>
      <sheetName val="кп_ГК3"/>
      <sheetName val="Справочные_данные3"/>
      <sheetName val="Б_Сатка3"/>
      <sheetName val="справ_4"/>
      <sheetName val="Перечень_ИУ3"/>
      <sheetName val="3_1_ТХ3"/>
      <sheetName val="СметаСводная_Колпино3"/>
      <sheetName val="3_53"/>
      <sheetName val="суб_подряд4"/>
      <sheetName val="ПСБ_-_ОЭ4"/>
      <sheetName val="Смета_23"/>
      <sheetName val="Ачинский_НПЗ3"/>
      <sheetName val="См3_СЦБ-зап3"/>
      <sheetName val="Хаттон_90_90_Femco3"/>
      <sheetName val="свод_общ3"/>
      <sheetName val="Смета_5_2__Кусты25,29,31,653"/>
      <sheetName val="смета_СИД3"/>
      <sheetName val="ресурсная_вед_3"/>
      <sheetName val="р_Волхов3"/>
      <sheetName val="КП_к_ГК3"/>
      <sheetName val="изыскания_23"/>
      <sheetName val="Калплан_Кра3"/>
      <sheetName val="6_11_новый3"/>
      <sheetName val="Opex_personnel_(Term_facs)3"/>
      <sheetName val="Капитальные_затраты3"/>
      <sheetName val="Пояснение_3"/>
      <sheetName val="3_13"/>
      <sheetName val="Коммерческие_расходы3"/>
      <sheetName val="смета_2_проект__работы3"/>
      <sheetName val="СС_замеч_с_ответами3"/>
      <sheetName val="УП__20043"/>
      <sheetName val="в_работу3"/>
      <sheetName val="3_23"/>
      <sheetName val="3_33"/>
      <sheetName val="Р2_13"/>
      <sheetName val="Р2_23"/>
      <sheetName val="Удельные(проф_)3"/>
      <sheetName val="Константы_и_результаты3"/>
      <sheetName val="расчет_№33"/>
      <sheetName val="20_Кредиты_краткосрочные3"/>
      <sheetName val="Перечень_Заказчиков3"/>
      <sheetName val="2_2_3"/>
      <sheetName val="СтрЗапасов_(2)3"/>
      <sheetName val="PwC_Copies_from_old_models_--&gt;3"/>
      <sheetName val="Сравнение_ДПН_факт_06-073"/>
      <sheetName val="НМ_расчеты3"/>
      <sheetName val="КП_к_снег_Рыбинская3"/>
      <sheetName val="Коэф_КВ3"/>
      <sheetName val="Смета_терзем3"/>
      <sheetName val="Кал_план_Жукова_даты_-_не_надо3"/>
      <sheetName val="матер_3"/>
      <sheetName val="КП_Прим_(3)3"/>
      <sheetName val="кп_(3)3"/>
      <sheetName val="фонтан_разбитый23"/>
      <sheetName val="Баланс_(Ф1)3"/>
      <sheetName val="Смета_3_Гидролог3"/>
      <sheetName val="Записка_СЦБ3"/>
      <sheetName val="РС_3"/>
      <sheetName val="Source_lists2"/>
      <sheetName val="Общая_часть2"/>
      <sheetName val="Табл_53"/>
      <sheetName val="Табл_23"/>
      <sheetName val="См_№3_ОПР2"/>
      <sheetName val="см_№6_АВЗУ_и_ГПЗУ2"/>
      <sheetName val="Input_Assumptions2"/>
      <sheetName val="см_№1_1_Геодезические_работы_2"/>
      <sheetName val="см_№1_4_Экология_2"/>
      <sheetName val="АСУ_ТП_1_этап_ПД2"/>
      <sheetName val="Расчет_курса2"/>
      <sheetName val="Курс_доллара2"/>
      <sheetName val="Календарь_новый2"/>
      <sheetName val="Смета_№_1_ИИ_линия2"/>
      <sheetName val="Дополнительные_параметры2"/>
      <sheetName val="Свод_объем2"/>
      <sheetName val="Дог_цена2"/>
      <sheetName val="выборка_на22_июня2"/>
      <sheetName val="3труба_(П)2"/>
      <sheetName val="Объемы_работ_по_ПВ2"/>
      <sheetName val="Таблица_52"/>
      <sheetName val="Таблица_32"/>
      <sheetName val="1_401_22"/>
      <sheetName val="PO_Data2"/>
      <sheetName val="Раб_АУ2"/>
      <sheetName val="р_Нева3"/>
      <sheetName val="р_Молога3"/>
      <sheetName val="18_рек_Ю-Х3"/>
      <sheetName val="нпс_Палкино3"/>
      <sheetName val="Россия_-_Китай3"/>
      <sheetName val="КМ_210-2383"/>
      <sheetName val="БТС-2_км_405-4593"/>
      <sheetName val="БТС-2_км_405-4533"/>
      <sheetName val="БТС-2_км_313-3523"/>
      <sheetName val="БТС-2_км326-3523"/>
      <sheetName val="Улейма_И3"/>
      <sheetName val="Белая_УБКА3"/>
      <sheetName val="км_72-75р_Левоннька3"/>
      <sheetName val="киенгоп-н_Челны_км_104-2063"/>
      <sheetName val="ВЛ_Урдома3"/>
      <sheetName val="Вл_Микунь_Урдома3"/>
      <sheetName val="ВЛ_Синдор-Микунь3"/>
      <sheetName val="Тон_Чермасан3"/>
      <sheetName val="Трасса_км_16-1473"/>
      <sheetName val="трасса_0-763"/>
      <sheetName val="Колва_783"/>
      <sheetName val="Гидрология__р_Колва_км_383"/>
      <sheetName val="ПСП_3"/>
      <sheetName val="Новая_сводка_(до_бюджета)_(2)4"/>
      <sheetName val="Что_пришло4"/>
      <sheetName val="влад-таблица_(2)4"/>
      <sheetName val="Новая_сводка_(до_бюджета)4"/>
      <sheetName val="Новая_сводка4"/>
      <sheetName val="Общие_расходы4"/>
      <sheetName val="Новая_сводка_(по_бюджету)4"/>
      <sheetName val="Íîâàÿ_ñâîäêà_(äî_áþäæåòà)_(2)4"/>
      <sheetName val="×òî_ïðèøëî4"/>
      <sheetName val="âëàä-òàáëèöà_(2)4"/>
      <sheetName val="Íîâàÿ_ñâîäêà_(äî_áþäæåòà)4"/>
      <sheetName val="Íîâàÿ_ñâîäêà4"/>
      <sheetName val="Îáùèå_ðàñõîäû4"/>
      <sheetName val="Íîâàÿ_ñâîäêà_(ïî_áþäæåòó)4"/>
      <sheetName val="6_10_14"/>
      <sheetName val="6_7_3_ТН4"/>
      <sheetName val="6_15"/>
      <sheetName val="6_52-свод3"/>
      <sheetName val="ДДС_(Форма_№3)2"/>
      <sheetName val="Сводная_2"/>
      <sheetName val="7_ТХ_Сети_(кор)2"/>
      <sheetName val="Tier_3112082"/>
      <sheetName val="Акт_выбора2"/>
      <sheetName val="См_№7_Эл_2"/>
      <sheetName val="См_№8_Пож_2"/>
      <sheetName val="См_№3_ВиК2"/>
      <sheetName val="Сметы_за_сопровождение2"/>
      <sheetName val="См_3_АСУ2"/>
      <sheetName val="Полигон_-_ИЭИ_2"/>
      <sheetName val="Смета_ТЗ_АСУ-162"/>
      <sheetName val="База_Геодезия2"/>
      <sheetName val="База_Геология2"/>
      <sheetName val="База_Геофизика2"/>
      <sheetName val="4_1_12"/>
      <sheetName val="исп_1_1_12"/>
      <sheetName val="База_Гидро2"/>
      <sheetName val="4_2_12"/>
      <sheetName val="исп_1_1_22"/>
      <sheetName val="Исп__смета_этап_1_1,_1_22"/>
      <sheetName val="Бл_электр_2"/>
      <sheetName val="лч_и_кам2"/>
      <sheetName val="ТЗ_АСУ-12"/>
      <sheetName val="ИД_СМР2"/>
      <sheetName val="Вспом_2"/>
      <sheetName val="2_Геология2"/>
      <sheetName val="Объем_работ2"/>
      <sheetName val="Виды_работ_АСО2"/>
      <sheetName val="ФОТ_для_смет2"/>
      <sheetName val="КБК_ДПК2"/>
      <sheetName val="ЕТС_(ф)2"/>
      <sheetName val="таблица_руко_3"/>
      <sheetName val="эл_химз_6"/>
      <sheetName val="геология_6"/>
      <sheetName val="6_146"/>
      <sheetName val="6_3_16"/>
      <sheetName val="6_206"/>
      <sheetName val="6_4_16"/>
      <sheetName val="6_11_1__сторонние6"/>
      <sheetName val="8_14_КР_(списание)ОПСТИКР6"/>
      <sheetName val="Данные_для_расчёта_сметы5"/>
      <sheetName val="6_14_КР5"/>
      <sheetName val="13_15"/>
      <sheetName val="свод_25"/>
      <sheetName val="Зап-3-_СЦБ5"/>
      <sheetName val="Пример_расчета5"/>
      <sheetName val="СметаСводная_Рыб5"/>
      <sheetName val="Текущие_цены5"/>
      <sheetName val="отчет_эл_эн__20005"/>
      <sheetName val="к_84-к_835"/>
      <sheetName val="Коэфф1_5"/>
      <sheetName val="6_34"/>
      <sheetName val="6_74"/>
      <sheetName val="6_3_1_34"/>
      <sheetName val="КП_(2)4"/>
      <sheetName val="свод_34"/>
      <sheetName val="Смета2_проект__раб_5"/>
      <sheetName val="Смета_15"/>
      <sheetName val="СМЕТА_проект4"/>
      <sheetName val="Production_and_Spend4"/>
      <sheetName val="Прайс_лист5"/>
      <sheetName val="1_34"/>
      <sheetName val="К_рын4"/>
      <sheetName val="Сводная_смета4"/>
      <sheetName val="См_1_наруж_водопровод5"/>
      <sheetName val="Разработка_проекта5"/>
      <sheetName val="КП_НовоКов5"/>
      <sheetName val="СметаСводная_1_оч5"/>
      <sheetName val="Переменные_и_константы4"/>
      <sheetName val="свод_(2)4"/>
      <sheetName val="Калплан_ОИ2_Макм_крестики4"/>
      <sheetName val="СметаСводная_павильон4"/>
      <sheetName val="Св__смета4"/>
      <sheetName val="РБС_ИЗМ14"/>
      <sheetName val="СметаСводная_снег4"/>
      <sheetName val="Лист_опроса4"/>
      <sheetName val="Исполнение__освоение_по_закупк4"/>
      <sheetName val="Исполнение_для_Ускова4"/>
      <sheetName val="Выборка_по_отсыпкам4"/>
      <sheetName val="ИП__отсыпки_4"/>
      <sheetName val="ИП__отсыпки_ФОТ_диз_т_4"/>
      <sheetName val="ИП__отсыпки___выборка_4"/>
      <sheetName val="Исполнение_по_оборуд_4"/>
      <sheetName val="Исполнение_по_оборуд___2_4"/>
      <sheetName val="Исполнение_сжато4"/>
      <sheetName val="Форма_для_бурения4"/>
      <sheetName val="Форма_для_КС4"/>
      <sheetName val="Форма_для_ГР4"/>
      <sheetName val="Смета_1свод4"/>
      <sheetName val="таблица_руководству4"/>
      <sheetName val="Суточная_добыча_за_неделю4"/>
      <sheetName val="Прибыль_опл4"/>
      <sheetName val="№5_СУБ_Инж_защ4"/>
      <sheetName val="HP_и_оргтехника4"/>
      <sheetName val="Таблица_24"/>
      <sheetName val="Таблица_4_АСУТП4"/>
      <sheetName val="ст_ГТМ4"/>
      <sheetName val="ПДР_ООО_&quot;Юкос_ФБЦ&quot;4"/>
      <sheetName val="исходные_данные4"/>
      <sheetName val="расчетные_таблицы4"/>
      <sheetName val="Амур_ДОН4"/>
      <sheetName val="кп_ГК4"/>
      <sheetName val="Справочные_данные4"/>
      <sheetName val="Б_Сатка4"/>
      <sheetName val="справ_5"/>
      <sheetName val="Перечень_ИУ4"/>
      <sheetName val="3_1_ТХ4"/>
      <sheetName val="СметаСводная_Колпино4"/>
      <sheetName val="3_54"/>
      <sheetName val="суб_подряд5"/>
      <sheetName val="ПСБ_-_ОЭ5"/>
      <sheetName val="Смета_24"/>
      <sheetName val="Ачинский_НПЗ4"/>
      <sheetName val="См3_СЦБ-зап4"/>
      <sheetName val="Хаттон_90_90_Femco4"/>
      <sheetName val="свод_общ4"/>
      <sheetName val="Смета_5_2__Кусты25,29,31,654"/>
      <sheetName val="смета_СИД4"/>
      <sheetName val="ресурсная_вед_4"/>
      <sheetName val="р_Волхов4"/>
      <sheetName val="КП_к_ГК4"/>
      <sheetName val="изыскания_24"/>
      <sheetName val="Калплан_Кра4"/>
      <sheetName val="6_11_новый4"/>
      <sheetName val="Opex_personnel_(Term_facs)4"/>
      <sheetName val="Капитальные_затраты4"/>
      <sheetName val="Пояснение_4"/>
      <sheetName val="3_14"/>
      <sheetName val="Коммерческие_расходы4"/>
      <sheetName val="смета_2_проект__работы4"/>
      <sheetName val="СС_замеч_с_ответами4"/>
      <sheetName val="УП__20044"/>
      <sheetName val="в_работу4"/>
      <sheetName val="3_24"/>
      <sheetName val="3_34"/>
      <sheetName val="Р2_14"/>
      <sheetName val="Р2_24"/>
      <sheetName val="Удельные(проф_)4"/>
      <sheetName val="Константы_и_результаты4"/>
      <sheetName val="расчет_№34"/>
      <sheetName val="20_Кредиты_краткосрочные4"/>
      <sheetName val="Перечень_Заказчиков4"/>
      <sheetName val="2_2_4"/>
      <sheetName val="СтрЗапасов_(2)4"/>
      <sheetName val="PwC_Copies_from_old_models_--&gt;4"/>
      <sheetName val="Сравнение_ДПН_факт_06-074"/>
      <sheetName val="НМ_расчеты4"/>
      <sheetName val="КП_к_снег_Рыбинская4"/>
      <sheetName val="Коэф_КВ4"/>
      <sheetName val="Смета_терзем4"/>
      <sheetName val="Кал_план_Жукова_даты_-_не_надо4"/>
      <sheetName val="матер_4"/>
      <sheetName val="КП_Прим_(3)4"/>
      <sheetName val="кп_(3)4"/>
      <sheetName val="фонтан_разбитый24"/>
      <sheetName val="Баланс_(Ф1)4"/>
      <sheetName val="Смета_3_Гидролог4"/>
      <sheetName val="Записка_СЦБ4"/>
      <sheetName val="РС_4"/>
      <sheetName val="Source_lists3"/>
      <sheetName val="Общая_часть3"/>
      <sheetName val="Табл_54"/>
      <sheetName val="Табл_24"/>
      <sheetName val="См_№3_ОПР3"/>
      <sheetName val="см_№6_АВЗУ_и_ГПЗУ3"/>
      <sheetName val="Input_Assumptions3"/>
      <sheetName val="см_№1_1_Геодезические_работы_3"/>
      <sheetName val="см_№1_4_Экология_3"/>
      <sheetName val="АСУ_ТП_1_этап_ПД3"/>
      <sheetName val="Расчет_курса3"/>
      <sheetName val="Курс_доллара3"/>
      <sheetName val="Календарь_новый3"/>
      <sheetName val="Смета_№_1_ИИ_линия3"/>
      <sheetName val="Дополнительные_параметры3"/>
      <sheetName val="Свод_объем3"/>
      <sheetName val="Дог_цена3"/>
      <sheetName val="выборка_на22_июня3"/>
      <sheetName val="3труба_(П)3"/>
      <sheetName val="Объемы_работ_по_ПВ3"/>
      <sheetName val="Таблица_53"/>
      <sheetName val="Таблица_33"/>
      <sheetName val="1_401_23"/>
      <sheetName val="PO_Data3"/>
      <sheetName val="Раб_АУ3"/>
      <sheetName val="р_Нева4"/>
      <sheetName val="р_Молога4"/>
      <sheetName val="18_рек_Ю-Х4"/>
      <sheetName val="нпс_Палкино4"/>
      <sheetName val="Россия_-_Китай4"/>
      <sheetName val="КМ_210-2384"/>
      <sheetName val="БТС-2_км_405-4594"/>
      <sheetName val="БТС-2_км_405-4534"/>
      <sheetName val="БТС-2_км_313-3524"/>
      <sheetName val="БТС-2_км326-3524"/>
      <sheetName val="Улейма_И4"/>
      <sheetName val="Белая_УБКА4"/>
      <sheetName val="км_72-75р_Левоннька4"/>
      <sheetName val="киенгоп-н_Челны_км_104-2064"/>
      <sheetName val="ВЛ_Урдома4"/>
      <sheetName val="Вл_Микунь_Урдома4"/>
      <sheetName val="ВЛ_Синдор-Микунь4"/>
      <sheetName val="Тон_Чермасан4"/>
      <sheetName val="Трасса_км_16-1474"/>
      <sheetName val="трасса_0-764"/>
      <sheetName val="Колва_784"/>
      <sheetName val="Гидрология__р_Колва_км_384"/>
      <sheetName val="ПСП_4"/>
      <sheetName val="Новая_сводка_(до_бюджета)_(2)5"/>
      <sheetName val="Что_пришло5"/>
      <sheetName val="влад-таблица_(2)5"/>
      <sheetName val="Новая_сводка_(до_бюджета)5"/>
      <sheetName val="Новая_сводка5"/>
      <sheetName val="Общие_расходы5"/>
      <sheetName val="Новая_сводка_(по_бюджету)5"/>
      <sheetName val="Íîâàÿ_ñâîäêà_(äî_áþäæåòà)_(2)5"/>
      <sheetName val="×òî_ïðèøëî5"/>
      <sheetName val="âëàä-òàáëèöà_(2)5"/>
      <sheetName val="Íîâàÿ_ñâîäêà_(äî_áþäæåòà)5"/>
      <sheetName val="Íîâàÿ_ñâîäêà5"/>
      <sheetName val="Îáùèå_ðàñõîäû5"/>
      <sheetName val="Íîâàÿ_ñâîäêà_(ïî_áþäæåòó)5"/>
      <sheetName val="6_10_15"/>
      <sheetName val="6_7_3_ТН5"/>
      <sheetName val="6_16"/>
      <sheetName val="6_52-свод4"/>
      <sheetName val="ДДС_(Форма_№3)3"/>
      <sheetName val="Сводная_3"/>
      <sheetName val="7_ТХ_Сети_(кор)3"/>
      <sheetName val="Tier_3112083"/>
      <sheetName val="Акт_выбора3"/>
      <sheetName val="См_№7_Эл_3"/>
      <sheetName val="См_№8_Пож_3"/>
      <sheetName val="См_№3_ВиК3"/>
      <sheetName val="Сметы_за_сопровождение3"/>
      <sheetName val="См_3_АСУ3"/>
      <sheetName val="Полигон_-_ИЭИ_3"/>
      <sheetName val="Смета_ТЗ_АСУ-163"/>
      <sheetName val="База_Геодезия3"/>
      <sheetName val="База_Геология3"/>
      <sheetName val="База_Геофизика3"/>
      <sheetName val="4_1_13"/>
      <sheetName val="исп_1_1_13"/>
      <sheetName val="База_Гидро3"/>
      <sheetName val="4_2_13"/>
      <sheetName val="исп_1_1_23"/>
      <sheetName val="Исп__смета_этап_1_1,_1_23"/>
      <sheetName val="Бл_электр_3"/>
      <sheetName val="лч_и_кам3"/>
      <sheetName val="ТЗ_АСУ-13"/>
      <sheetName val="ИД_СМР3"/>
      <sheetName val="Вспом_3"/>
      <sheetName val="2_Геология3"/>
      <sheetName val="Объем_работ3"/>
      <sheetName val="Виды_работ_АСО3"/>
      <sheetName val="ФОТ_для_смет3"/>
      <sheetName val="КБК_ДПК3"/>
      <sheetName val="ЕТС_(ф)3"/>
      <sheetName val="таблица_руко_4"/>
      <sheetName val="Расчет_№1_1"/>
      <sheetName val="Расчет_№2_1"/>
      <sheetName val="Исх__данные1"/>
      <sheetName val="Исх__данные2"/>
      <sheetName val="Main_list2"/>
      <sheetName val="ПД-2_22"/>
      <sheetName val="1_142"/>
      <sheetName val="1_72"/>
      <sheetName val="Промер_глуб1"/>
      <sheetName val="кап_ремонт"/>
      <sheetName val="СВ_2"/>
      <sheetName val="1_2_"/>
      <sheetName val="РАСПРЕД_ПО_ПРОЦЕСС"/>
      <sheetName val="Приложение_2"/>
      <sheetName val="Исх_"/>
      <sheetName val="Ограничения_шаблон"/>
      <sheetName val="Причины_отклонений"/>
      <sheetName val="Статус_работы"/>
      <sheetName val="Уровень_графика"/>
      <sheetName val="ИД_ПНР"/>
      <sheetName val="Технический_лист"/>
      <sheetName val="анализ_2003_2004исполнение_МТО"/>
      <sheetName val="aeaa-oaaeeoa"/>
      <sheetName val="Iiaay naiaea (ai a?a?aoa) (2)"/>
      <sheetName val="?oi i?eoei"/>
      <sheetName val="aeaa-oaaeeoa (2)"/>
      <sheetName val="Iiaay naiaea (ai a?a?aoa)"/>
      <sheetName val="Naiaea"/>
      <sheetName val="Iiaay naiaea"/>
      <sheetName val="A?-o"/>
      <sheetName val="Ia?aoInoaoee"/>
      <sheetName val="Iauea ?anoiau"/>
      <sheetName val="Iiaay naiaea (ii a?a?aoo)"/>
      <sheetName val="Iiaay_naiaea_(ai_a?a?aoa)_(2)"/>
      <sheetName val="?oi_i?eoei"/>
      <sheetName val="aeaa-oaaeeoa_(2)"/>
      <sheetName val="Iiaay_naiaea_(ai_a?a?aoa)"/>
      <sheetName val="Iiaay_naiaea"/>
      <sheetName val="Iauea_?anoiau"/>
      <sheetName val="Iiaay_naiaea_(ii_a?a?aoo)"/>
      <sheetName val="Iiaay_naiaea_(ai_a?a?aoa)_(2)1"/>
      <sheetName val="?oi_i?eoei1"/>
      <sheetName val="aeaa-oaaeeoa_(2)1"/>
      <sheetName val="Iiaay_naiaea_(ai_a?a?aoa)1"/>
      <sheetName val="Iiaay_naiaea1"/>
      <sheetName val="Iauea_?anoiau1"/>
      <sheetName val="Iiaay_naiaea_(ii_a?a?aoo)1"/>
      <sheetName val="?????????????????"/>
      <sheetName val="ЖД 3.1"/>
      <sheetName val="УСР"/>
      <sheetName val="Объемы"/>
      <sheetName val="СметаСводная п54"/>
      <sheetName val="СметаСводная пуш"/>
      <sheetName val="Восстановл_Лис礊め_x0005_"/>
      <sheetName val="Ref"/>
      <sheetName val="7"/>
      <sheetName val="СМ          "/>
      <sheetName val="таблица_руко       "/>
      <sheetName val="таблица_руко  _x0009_    "/>
      <sheetName val="исключ_ЭХЗ"/>
      <sheetName val="исключ_ЭХЗ1"/>
      <sheetName val="Восстановл_Л_x0000__x0000_Ԁ_x0000_耀"/>
      <sheetName val="Восстановл_Л_x0000__x0000__x0000__x0000_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/>
      <sheetData sheetId="989"/>
      <sheetData sheetId="990">
        <row r="1">
          <cell r="B1">
            <v>0</v>
          </cell>
        </row>
      </sheetData>
      <sheetData sheetId="991"/>
      <sheetData sheetId="992"/>
      <sheetData sheetId="993"/>
      <sheetData sheetId="994"/>
      <sheetData sheetId="995">
        <row r="1">
          <cell r="B1">
            <v>0</v>
          </cell>
        </row>
      </sheetData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 refreshError="1"/>
      <sheetData sheetId="1009">
        <row r="1">
          <cell r="B1">
            <v>0</v>
          </cell>
        </row>
      </sheetData>
      <sheetData sheetId="1010" refreshError="1"/>
      <sheetData sheetId="1011"/>
      <sheetData sheetId="1012" refreshError="1"/>
      <sheetData sheetId="1013" refreshError="1"/>
      <sheetData sheetId="1014" refreshError="1"/>
      <sheetData sheetId="1015"/>
      <sheetData sheetId="1016"/>
      <sheetData sheetId="1017">
        <row r="1">
          <cell r="B1">
            <v>0</v>
          </cell>
        </row>
      </sheetData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>
        <row r="1">
          <cell r="B1">
            <v>0</v>
          </cell>
        </row>
      </sheetData>
      <sheetData sheetId="1068"/>
      <sheetData sheetId="1069"/>
      <sheetData sheetId="1070"/>
      <sheetData sheetId="1071"/>
      <sheetData sheetId="1072">
        <row r="1">
          <cell r="B1">
            <v>0</v>
          </cell>
        </row>
      </sheetData>
      <sheetData sheetId="1073">
        <row r="1">
          <cell r="B1">
            <v>0</v>
          </cell>
        </row>
      </sheetData>
      <sheetData sheetId="1074" refreshError="1"/>
      <sheetData sheetId="1075">
        <row r="1">
          <cell r="B1">
            <v>0</v>
          </cell>
        </row>
      </sheetData>
      <sheetData sheetId="1076">
        <row r="1">
          <cell r="B1">
            <v>0</v>
          </cell>
        </row>
      </sheetData>
      <sheetData sheetId="1077">
        <row r="1">
          <cell r="B1">
            <v>0</v>
          </cell>
        </row>
      </sheetData>
      <sheetData sheetId="1078">
        <row r="1">
          <cell r="B1">
            <v>0</v>
          </cell>
        </row>
      </sheetData>
      <sheetData sheetId="1079">
        <row r="1">
          <cell r="B1">
            <v>0</v>
          </cell>
        </row>
      </sheetData>
      <sheetData sheetId="1080">
        <row r="1">
          <cell r="B1">
            <v>0</v>
          </cell>
        </row>
      </sheetData>
      <sheetData sheetId="1081">
        <row r="1">
          <cell r="B1">
            <v>0</v>
          </cell>
        </row>
      </sheetData>
      <sheetData sheetId="1082">
        <row r="1">
          <cell r="B1">
            <v>0</v>
          </cell>
        </row>
      </sheetData>
      <sheetData sheetId="1083">
        <row r="1">
          <cell r="B1">
            <v>0</v>
          </cell>
        </row>
      </sheetData>
      <sheetData sheetId="1084">
        <row r="1">
          <cell r="B1">
            <v>0</v>
          </cell>
        </row>
      </sheetData>
      <sheetData sheetId="1085">
        <row r="1">
          <cell r="B1">
            <v>0</v>
          </cell>
        </row>
      </sheetData>
      <sheetData sheetId="1086">
        <row r="1">
          <cell r="B1">
            <v>0</v>
          </cell>
        </row>
      </sheetData>
      <sheetData sheetId="1087">
        <row r="1">
          <cell r="B1">
            <v>0</v>
          </cell>
        </row>
      </sheetData>
      <sheetData sheetId="1088">
        <row r="1">
          <cell r="B1">
            <v>0</v>
          </cell>
        </row>
      </sheetData>
      <sheetData sheetId="1089">
        <row r="1">
          <cell r="B1">
            <v>0</v>
          </cell>
        </row>
      </sheetData>
      <sheetData sheetId="1090">
        <row r="1">
          <cell r="B1">
            <v>0</v>
          </cell>
        </row>
      </sheetData>
      <sheetData sheetId="1091">
        <row r="1">
          <cell r="B1">
            <v>0</v>
          </cell>
        </row>
      </sheetData>
      <sheetData sheetId="1092">
        <row r="1">
          <cell r="B1">
            <v>0</v>
          </cell>
        </row>
      </sheetData>
      <sheetData sheetId="1093">
        <row r="1">
          <cell r="B1">
            <v>0</v>
          </cell>
        </row>
      </sheetData>
      <sheetData sheetId="1094">
        <row r="1">
          <cell r="B1">
            <v>0</v>
          </cell>
        </row>
      </sheetData>
      <sheetData sheetId="1095">
        <row r="1">
          <cell r="B1">
            <v>0</v>
          </cell>
        </row>
      </sheetData>
      <sheetData sheetId="1096">
        <row r="1">
          <cell r="B1">
            <v>0</v>
          </cell>
        </row>
      </sheetData>
      <sheetData sheetId="1097">
        <row r="1">
          <cell r="B1">
            <v>0</v>
          </cell>
        </row>
      </sheetData>
      <sheetData sheetId="1098">
        <row r="1">
          <cell r="B1">
            <v>0</v>
          </cell>
        </row>
      </sheetData>
      <sheetData sheetId="1099">
        <row r="1">
          <cell r="B1">
            <v>0</v>
          </cell>
        </row>
      </sheetData>
      <sheetData sheetId="1100">
        <row r="1">
          <cell r="B1">
            <v>0</v>
          </cell>
        </row>
      </sheetData>
      <sheetData sheetId="1101">
        <row r="1">
          <cell r="B1">
            <v>0</v>
          </cell>
        </row>
      </sheetData>
      <sheetData sheetId="1102">
        <row r="1">
          <cell r="B1">
            <v>0</v>
          </cell>
        </row>
      </sheetData>
      <sheetData sheetId="1103">
        <row r="1">
          <cell r="B1">
            <v>0</v>
          </cell>
        </row>
      </sheetData>
      <sheetData sheetId="1104">
        <row r="1">
          <cell r="B1">
            <v>0</v>
          </cell>
        </row>
      </sheetData>
      <sheetData sheetId="1105">
        <row r="1">
          <cell r="B1">
            <v>0</v>
          </cell>
        </row>
      </sheetData>
      <sheetData sheetId="1106">
        <row r="1">
          <cell r="B1">
            <v>0</v>
          </cell>
        </row>
      </sheetData>
      <sheetData sheetId="1107">
        <row r="1">
          <cell r="B1">
            <v>0</v>
          </cell>
        </row>
      </sheetData>
      <sheetData sheetId="1108">
        <row r="1">
          <cell r="B1">
            <v>0</v>
          </cell>
        </row>
      </sheetData>
      <sheetData sheetId="1109">
        <row r="1">
          <cell r="B1">
            <v>0</v>
          </cell>
        </row>
      </sheetData>
      <sheetData sheetId="1110">
        <row r="1">
          <cell r="B1">
            <v>0</v>
          </cell>
        </row>
      </sheetData>
      <sheetData sheetId="1111">
        <row r="1">
          <cell r="B1">
            <v>0</v>
          </cell>
        </row>
      </sheetData>
      <sheetData sheetId="1112">
        <row r="1">
          <cell r="B1">
            <v>0</v>
          </cell>
        </row>
      </sheetData>
      <sheetData sheetId="1113">
        <row r="1">
          <cell r="B1">
            <v>0</v>
          </cell>
        </row>
      </sheetData>
      <sheetData sheetId="1114">
        <row r="1">
          <cell r="B1">
            <v>0</v>
          </cell>
        </row>
      </sheetData>
      <sheetData sheetId="1115">
        <row r="1">
          <cell r="B1">
            <v>0</v>
          </cell>
        </row>
      </sheetData>
      <sheetData sheetId="1116">
        <row r="1">
          <cell r="B1">
            <v>0</v>
          </cell>
        </row>
      </sheetData>
      <sheetData sheetId="1117">
        <row r="1">
          <cell r="B1">
            <v>0</v>
          </cell>
        </row>
      </sheetData>
      <sheetData sheetId="1118">
        <row r="1">
          <cell r="B1">
            <v>0</v>
          </cell>
        </row>
      </sheetData>
      <sheetData sheetId="1119">
        <row r="1">
          <cell r="B1">
            <v>0</v>
          </cell>
        </row>
      </sheetData>
      <sheetData sheetId="1120">
        <row r="1">
          <cell r="B1">
            <v>0</v>
          </cell>
        </row>
      </sheetData>
      <sheetData sheetId="1121">
        <row r="1">
          <cell r="B1">
            <v>0</v>
          </cell>
        </row>
      </sheetData>
      <sheetData sheetId="1122">
        <row r="1">
          <cell r="B1">
            <v>0</v>
          </cell>
        </row>
      </sheetData>
      <sheetData sheetId="1123">
        <row r="1">
          <cell r="B1">
            <v>0</v>
          </cell>
        </row>
      </sheetData>
      <sheetData sheetId="1124">
        <row r="1">
          <cell r="B1">
            <v>0</v>
          </cell>
        </row>
      </sheetData>
      <sheetData sheetId="1125">
        <row r="1">
          <cell r="B1">
            <v>0</v>
          </cell>
        </row>
      </sheetData>
      <sheetData sheetId="1126">
        <row r="1">
          <cell r="B1">
            <v>0</v>
          </cell>
        </row>
      </sheetData>
      <sheetData sheetId="1127">
        <row r="1">
          <cell r="B1">
            <v>0</v>
          </cell>
        </row>
      </sheetData>
      <sheetData sheetId="1128">
        <row r="1">
          <cell r="B1">
            <v>0</v>
          </cell>
        </row>
      </sheetData>
      <sheetData sheetId="1129">
        <row r="1">
          <cell r="B1">
            <v>0</v>
          </cell>
        </row>
      </sheetData>
      <sheetData sheetId="1130">
        <row r="1">
          <cell r="B1">
            <v>0</v>
          </cell>
        </row>
      </sheetData>
      <sheetData sheetId="1131">
        <row r="1">
          <cell r="B1">
            <v>0</v>
          </cell>
        </row>
      </sheetData>
      <sheetData sheetId="1132">
        <row r="1">
          <cell r="B1">
            <v>0</v>
          </cell>
        </row>
      </sheetData>
      <sheetData sheetId="1133">
        <row r="1">
          <cell r="B1">
            <v>0</v>
          </cell>
        </row>
      </sheetData>
      <sheetData sheetId="1134">
        <row r="1">
          <cell r="B1">
            <v>0</v>
          </cell>
        </row>
      </sheetData>
      <sheetData sheetId="1135">
        <row r="1">
          <cell r="B1">
            <v>0</v>
          </cell>
        </row>
      </sheetData>
      <sheetData sheetId="1136">
        <row r="1">
          <cell r="B1">
            <v>0</v>
          </cell>
        </row>
      </sheetData>
      <sheetData sheetId="1137">
        <row r="1">
          <cell r="B1">
            <v>0</v>
          </cell>
        </row>
      </sheetData>
      <sheetData sheetId="1138">
        <row r="1">
          <cell r="B1">
            <v>0</v>
          </cell>
        </row>
      </sheetData>
      <sheetData sheetId="1139">
        <row r="1">
          <cell r="B1">
            <v>0</v>
          </cell>
        </row>
      </sheetData>
      <sheetData sheetId="1140">
        <row r="1">
          <cell r="B1">
            <v>0</v>
          </cell>
        </row>
      </sheetData>
      <sheetData sheetId="1141">
        <row r="1">
          <cell r="B1">
            <v>0</v>
          </cell>
        </row>
      </sheetData>
      <sheetData sheetId="1142">
        <row r="1">
          <cell r="B1">
            <v>0</v>
          </cell>
        </row>
      </sheetData>
      <sheetData sheetId="1143">
        <row r="1">
          <cell r="B1">
            <v>0</v>
          </cell>
        </row>
      </sheetData>
      <sheetData sheetId="1144">
        <row r="1">
          <cell r="B1">
            <v>0</v>
          </cell>
        </row>
      </sheetData>
      <sheetData sheetId="1145">
        <row r="1">
          <cell r="B1">
            <v>0</v>
          </cell>
        </row>
      </sheetData>
      <sheetData sheetId="1146">
        <row r="1">
          <cell r="B1">
            <v>0</v>
          </cell>
        </row>
      </sheetData>
      <sheetData sheetId="1147">
        <row r="1">
          <cell r="B1">
            <v>0</v>
          </cell>
        </row>
      </sheetData>
      <sheetData sheetId="1148">
        <row r="1">
          <cell r="B1">
            <v>0</v>
          </cell>
        </row>
      </sheetData>
      <sheetData sheetId="1149">
        <row r="1">
          <cell r="B1">
            <v>0</v>
          </cell>
        </row>
      </sheetData>
      <sheetData sheetId="1150">
        <row r="1">
          <cell r="B1">
            <v>0</v>
          </cell>
        </row>
      </sheetData>
      <sheetData sheetId="1151">
        <row r="1">
          <cell r="B1">
            <v>0</v>
          </cell>
        </row>
      </sheetData>
      <sheetData sheetId="1152">
        <row r="1">
          <cell r="B1">
            <v>0</v>
          </cell>
        </row>
      </sheetData>
      <sheetData sheetId="1153">
        <row r="1">
          <cell r="B1">
            <v>0</v>
          </cell>
        </row>
      </sheetData>
      <sheetData sheetId="1154">
        <row r="1">
          <cell r="B1">
            <v>0</v>
          </cell>
        </row>
      </sheetData>
      <sheetData sheetId="1155">
        <row r="1">
          <cell r="B1">
            <v>0</v>
          </cell>
        </row>
      </sheetData>
      <sheetData sheetId="1156">
        <row r="1">
          <cell r="B1">
            <v>0</v>
          </cell>
        </row>
      </sheetData>
      <sheetData sheetId="1157">
        <row r="1">
          <cell r="B1">
            <v>0</v>
          </cell>
        </row>
      </sheetData>
      <sheetData sheetId="1158">
        <row r="1">
          <cell r="B1">
            <v>0</v>
          </cell>
        </row>
      </sheetData>
      <sheetData sheetId="1159">
        <row r="1">
          <cell r="B1">
            <v>0</v>
          </cell>
        </row>
      </sheetData>
      <sheetData sheetId="1160">
        <row r="1">
          <cell r="B1">
            <v>0</v>
          </cell>
        </row>
      </sheetData>
      <sheetData sheetId="1161">
        <row r="1">
          <cell r="B1">
            <v>0</v>
          </cell>
        </row>
      </sheetData>
      <sheetData sheetId="1162">
        <row r="1">
          <cell r="B1">
            <v>0</v>
          </cell>
        </row>
      </sheetData>
      <sheetData sheetId="1163">
        <row r="1">
          <cell r="B1">
            <v>0</v>
          </cell>
        </row>
      </sheetData>
      <sheetData sheetId="1164">
        <row r="1">
          <cell r="B1">
            <v>0</v>
          </cell>
        </row>
      </sheetData>
      <sheetData sheetId="1165">
        <row r="1">
          <cell r="B1">
            <v>0</v>
          </cell>
        </row>
      </sheetData>
      <sheetData sheetId="1166">
        <row r="1">
          <cell r="B1">
            <v>0</v>
          </cell>
        </row>
      </sheetData>
      <sheetData sheetId="1167">
        <row r="1">
          <cell r="B1">
            <v>0</v>
          </cell>
        </row>
      </sheetData>
      <sheetData sheetId="1168">
        <row r="1">
          <cell r="B1">
            <v>0</v>
          </cell>
        </row>
      </sheetData>
      <sheetData sheetId="1169">
        <row r="1">
          <cell r="B1">
            <v>0</v>
          </cell>
        </row>
      </sheetData>
      <sheetData sheetId="1170">
        <row r="1">
          <cell r="B1">
            <v>0</v>
          </cell>
        </row>
      </sheetData>
      <sheetData sheetId="1171">
        <row r="1">
          <cell r="B1">
            <v>0</v>
          </cell>
        </row>
      </sheetData>
      <sheetData sheetId="1172">
        <row r="1">
          <cell r="B1">
            <v>0</v>
          </cell>
        </row>
      </sheetData>
      <sheetData sheetId="1173">
        <row r="1">
          <cell r="B1">
            <v>0</v>
          </cell>
        </row>
      </sheetData>
      <sheetData sheetId="1174">
        <row r="1">
          <cell r="B1">
            <v>0</v>
          </cell>
        </row>
      </sheetData>
      <sheetData sheetId="1175">
        <row r="1">
          <cell r="B1">
            <v>0</v>
          </cell>
        </row>
      </sheetData>
      <sheetData sheetId="1176">
        <row r="1">
          <cell r="B1">
            <v>0</v>
          </cell>
        </row>
      </sheetData>
      <sheetData sheetId="1177">
        <row r="1">
          <cell r="B1">
            <v>0</v>
          </cell>
        </row>
      </sheetData>
      <sheetData sheetId="1178">
        <row r="1">
          <cell r="B1">
            <v>0</v>
          </cell>
        </row>
      </sheetData>
      <sheetData sheetId="1179">
        <row r="1">
          <cell r="B1">
            <v>0</v>
          </cell>
        </row>
      </sheetData>
      <sheetData sheetId="1180">
        <row r="1">
          <cell r="B1">
            <v>0</v>
          </cell>
        </row>
      </sheetData>
      <sheetData sheetId="1181">
        <row r="1">
          <cell r="B1">
            <v>0</v>
          </cell>
        </row>
      </sheetData>
      <sheetData sheetId="1182">
        <row r="1">
          <cell r="B1">
            <v>0</v>
          </cell>
        </row>
      </sheetData>
      <sheetData sheetId="1183">
        <row r="1">
          <cell r="B1">
            <v>0</v>
          </cell>
        </row>
      </sheetData>
      <sheetData sheetId="1184">
        <row r="1">
          <cell r="B1">
            <v>0</v>
          </cell>
        </row>
      </sheetData>
      <sheetData sheetId="1185">
        <row r="1">
          <cell r="B1">
            <v>0</v>
          </cell>
        </row>
      </sheetData>
      <sheetData sheetId="1186">
        <row r="1">
          <cell r="B1">
            <v>0</v>
          </cell>
        </row>
      </sheetData>
      <sheetData sheetId="1187">
        <row r="1">
          <cell r="B1">
            <v>0</v>
          </cell>
        </row>
      </sheetData>
      <sheetData sheetId="1188">
        <row r="1">
          <cell r="B1">
            <v>0</v>
          </cell>
        </row>
      </sheetData>
      <sheetData sheetId="1189">
        <row r="1">
          <cell r="B1">
            <v>0</v>
          </cell>
        </row>
      </sheetData>
      <sheetData sheetId="1190">
        <row r="1">
          <cell r="B1">
            <v>0</v>
          </cell>
        </row>
      </sheetData>
      <sheetData sheetId="1191">
        <row r="1">
          <cell r="B1">
            <v>0</v>
          </cell>
        </row>
      </sheetData>
      <sheetData sheetId="1192">
        <row r="1">
          <cell r="B1">
            <v>0</v>
          </cell>
        </row>
      </sheetData>
      <sheetData sheetId="1193">
        <row r="1">
          <cell r="B1">
            <v>0</v>
          </cell>
        </row>
      </sheetData>
      <sheetData sheetId="1194">
        <row r="1">
          <cell r="B1">
            <v>0</v>
          </cell>
        </row>
      </sheetData>
      <sheetData sheetId="1195">
        <row r="1">
          <cell r="B1">
            <v>0</v>
          </cell>
        </row>
      </sheetData>
      <sheetData sheetId="1196">
        <row r="1">
          <cell r="B1">
            <v>0</v>
          </cell>
        </row>
      </sheetData>
      <sheetData sheetId="1197">
        <row r="1">
          <cell r="B1">
            <v>0</v>
          </cell>
        </row>
      </sheetData>
      <sheetData sheetId="1198">
        <row r="1">
          <cell r="B1">
            <v>0</v>
          </cell>
        </row>
      </sheetData>
      <sheetData sheetId="1199">
        <row r="1">
          <cell r="B1">
            <v>0</v>
          </cell>
        </row>
      </sheetData>
      <sheetData sheetId="1200">
        <row r="1">
          <cell r="B1">
            <v>0</v>
          </cell>
        </row>
      </sheetData>
      <sheetData sheetId="1201">
        <row r="1">
          <cell r="B1">
            <v>0</v>
          </cell>
        </row>
      </sheetData>
      <sheetData sheetId="1202">
        <row r="1">
          <cell r="B1">
            <v>0</v>
          </cell>
        </row>
      </sheetData>
      <sheetData sheetId="1203">
        <row r="1">
          <cell r="B1">
            <v>0</v>
          </cell>
        </row>
      </sheetData>
      <sheetData sheetId="1204">
        <row r="1">
          <cell r="B1">
            <v>0</v>
          </cell>
        </row>
      </sheetData>
      <sheetData sheetId="1205">
        <row r="1">
          <cell r="B1">
            <v>0</v>
          </cell>
        </row>
      </sheetData>
      <sheetData sheetId="1206">
        <row r="1">
          <cell r="B1">
            <v>0</v>
          </cell>
        </row>
      </sheetData>
      <sheetData sheetId="1207">
        <row r="1">
          <cell r="B1">
            <v>0</v>
          </cell>
        </row>
      </sheetData>
      <sheetData sheetId="1208">
        <row r="1">
          <cell r="B1">
            <v>0</v>
          </cell>
        </row>
      </sheetData>
      <sheetData sheetId="1209">
        <row r="1">
          <cell r="B1">
            <v>0</v>
          </cell>
        </row>
      </sheetData>
      <sheetData sheetId="1210">
        <row r="1">
          <cell r="B1">
            <v>0</v>
          </cell>
        </row>
      </sheetData>
      <sheetData sheetId="1211">
        <row r="1">
          <cell r="B1">
            <v>0</v>
          </cell>
        </row>
      </sheetData>
      <sheetData sheetId="1212">
        <row r="1">
          <cell r="B1">
            <v>0</v>
          </cell>
        </row>
      </sheetData>
      <sheetData sheetId="1213">
        <row r="1">
          <cell r="B1">
            <v>0</v>
          </cell>
        </row>
      </sheetData>
      <sheetData sheetId="1214">
        <row r="1">
          <cell r="B1">
            <v>0</v>
          </cell>
        </row>
      </sheetData>
      <sheetData sheetId="1215">
        <row r="1">
          <cell r="B1">
            <v>0</v>
          </cell>
        </row>
      </sheetData>
      <sheetData sheetId="1216">
        <row r="1">
          <cell r="B1">
            <v>0</v>
          </cell>
        </row>
      </sheetData>
      <sheetData sheetId="1217">
        <row r="1">
          <cell r="B1">
            <v>0</v>
          </cell>
        </row>
      </sheetData>
      <sheetData sheetId="1218">
        <row r="1">
          <cell r="B1">
            <v>0</v>
          </cell>
        </row>
      </sheetData>
      <sheetData sheetId="1219">
        <row r="1">
          <cell r="B1">
            <v>0</v>
          </cell>
        </row>
      </sheetData>
      <sheetData sheetId="1220">
        <row r="1">
          <cell r="B1">
            <v>0</v>
          </cell>
        </row>
      </sheetData>
      <sheetData sheetId="1221">
        <row r="1">
          <cell r="B1">
            <v>0</v>
          </cell>
        </row>
      </sheetData>
      <sheetData sheetId="1222">
        <row r="1">
          <cell r="B1">
            <v>0</v>
          </cell>
        </row>
      </sheetData>
      <sheetData sheetId="1223">
        <row r="1">
          <cell r="B1">
            <v>0</v>
          </cell>
        </row>
      </sheetData>
      <sheetData sheetId="1224">
        <row r="1">
          <cell r="B1">
            <v>0</v>
          </cell>
        </row>
      </sheetData>
      <sheetData sheetId="1225">
        <row r="1">
          <cell r="B1">
            <v>0</v>
          </cell>
        </row>
      </sheetData>
      <sheetData sheetId="1226">
        <row r="1">
          <cell r="B1">
            <v>0</v>
          </cell>
        </row>
      </sheetData>
      <sheetData sheetId="1227">
        <row r="1">
          <cell r="B1">
            <v>0</v>
          </cell>
        </row>
      </sheetData>
      <sheetData sheetId="1228">
        <row r="1">
          <cell r="B1">
            <v>0</v>
          </cell>
        </row>
      </sheetData>
      <sheetData sheetId="1229">
        <row r="1">
          <cell r="B1">
            <v>0</v>
          </cell>
        </row>
      </sheetData>
      <sheetData sheetId="1230">
        <row r="1">
          <cell r="B1">
            <v>0</v>
          </cell>
        </row>
      </sheetData>
      <sheetData sheetId="1231">
        <row r="1">
          <cell r="B1">
            <v>0</v>
          </cell>
        </row>
      </sheetData>
      <sheetData sheetId="1232">
        <row r="1">
          <cell r="B1">
            <v>0</v>
          </cell>
        </row>
      </sheetData>
      <sheetData sheetId="1233">
        <row r="1">
          <cell r="B1">
            <v>0</v>
          </cell>
        </row>
      </sheetData>
      <sheetData sheetId="1234" refreshError="1"/>
      <sheetData sheetId="1235" refreshError="1"/>
      <sheetData sheetId="1236" refreshError="1"/>
      <sheetData sheetId="1237" refreshError="1"/>
      <sheetData sheetId="1238">
        <row r="1">
          <cell r="B1">
            <v>0</v>
          </cell>
        </row>
      </sheetData>
      <sheetData sheetId="1239">
        <row r="1">
          <cell r="B1">
            <v>0</v>
          </cell>
        </row>
      </sheetData>
      <sheetData sheetId="1240">
        <row r="1">
          <cell r="B1">
            <v>0</v>
          </cell>
        </row>
      </sheetData>
      <sheetData sheetId="1241">
        <row r="1">
          <cell r="B1">
            <v>0</v>
          </cell>
        </row>
      </sheetData>
      <sheetData sheetId="1242">
        <row r="1">
          <cell r="B1">
            <v>0</v>
          </cell>
        </row>
      </sheetData>
      <sheetData sheetId="1243">
        <row r="1">
          <cell r="B1">
            <v>0</v>
          </cell>
        </row>
      </sheetData>
      <sheetData sheetId="1244">
        <row r="1">
          <cell r="B1">
            <v>0</v>
          </cell>
        </row>
      </sheetData>
      <sheetData sheetId="1245">
        <row r="1">
          <cell r="B1">
            <v>0</v>
          </cell>
        </row>
      </sheetData>
      <sheetData sheetId="1246">
        <row r="1">
          <cell r="B1">
            <v>0</v>
          </cell>
        </row>
      </sheetData>
      <sheetData sheetId="1247">
        <row r="1">
          <cell r="B1">
            <v>0</v>
          </cell>
        </row>
      </sheetData>
      <sheetData sheetId="1248">
        <row r="1">
          <cell r="B1">
            <v>0</v>
          </cell>
        </row>
      </sheetData>
      <sheetData sheetId="1249">
        <row r="1">
          <cell r="B1">
            <v>0</v>
          </cell>
        </row>
      </sheetData>
      <sheetData sheetId="1250">
        <row r="1">
          <cell r="B1">
            <v>0</v>
          </cell>
        </row>
      </sheetData>
      <sheetData sheetId="1251">
        <row r="1">
          <cell r="B1">
            <v>0</v>
          </cell>
        </row>
      </sheetData>
      <sheetData sheetId="1252">
        <row r="1">
          <cell r="B1">
            <v>0</v>
          </cell>
        </row>
      </sheetData>
      <sheetData sheetId="1253">
        <row r="1">
          <cell r="B1">
            <v>0</v>
          </cell>
        </row>
      </sheetData>
      <sheetData sheetId="1254">
        <row r="1">
          <cell r="B1">
            <v>0</v>
          </cell>
        </row>
      </sheetData>
      <sheetData sheetId="1255">
        <row r="1">
          <cell r="B1">
            <v>0</v>
          </cell>
        </row>
      </sheetData>
      <sheetData sheetId="1256">
        <row r="1">
          <cell r="B1">
            <v>0</v>
          </cell>
        </row>
      </sheetData>
      <sheetData sheetId="1257">
        <row r="1">
          <cell r="B1">
            <v>0</v>
          </cell>
        </row>
      </sheetData>
      <sheetData sheetId="1258">
        <row r="1">
          <cell r="B1">
            <v>0</v>
          </cell>
        </row>
      </sheetData>
      <sheetData sheetId="1259">
        <row r="1">
          <cell r="B1">
            <v>0</v>
          </cell>
        </row>
      </sheetData>
      <sheetData sheetId="1260">
        <row r="1">
          <cell r="B1">
            <v>0</v>
          </cell>
        </row>
      </sheetData>
      <sheetData sheetId="1261">
        <row r="1">
          <cell r="B1">
            <v>0</v>
          </cell>
        </row>
      </sheetData>
      <sheetData sheetId="1262">
        <row r="1">
          <cell r="B1">
            <v>0</v>
          </cell>
        </row>
      </sheetData>
      <sheetData sheetId="1263">
        <row r="1">
          <cell r="B1">
            <v>0</v>
          </cell>
        </row>
      </sheetData>
      <sheetData sheetId="1264">
        <row r="1">
          <cell r="B1">
            <v>0</v>
          </cell>
        </row>
      </sheetData>
      <sheetData sheetId="1265">
        <row r="1">
          <cell r="B1">
            <v>0</v>
          </cell>
        </row>
      </sheetData>
      <sheetData sheetId="1266">
        <row r="1">
          <cell r="B1">
            <v>0</v>
          </cell>
        </row>
      </sheetData>
      <sheetData sheetId="1267">
        <row r="1">
          <cell r="B1">
            <v>0</v>
          </cell>
        </row>
      </sheetData>
      <sheetData sheetId="1268">
        <row r="1">
          <cell r="B1">
            <v>0</v>
          </cell>
        </row>
      </sheetData>
      <sheetData sheetId="1269">
        <row r="1">
          <cell r="B1">
            <v>0</v>
          </cell>
        </row>
      </sheetData>
      <sheetData sheetId="1270">
        <row r="1">
          <cell r="B1">
            <v>0</v>
          </cell>
        </row>
      </sheetData>
      <sheetData sheetId="1271">
        <row r="1">
          <cell r="B1">
            <v>0</v>
          </cell>
        </row>
      </sheetData>
      <sheetData sheetId="1272">
        <row r="1">
          <cell r="B1">
            <v>0</v>
          </cell>
        </row>
      </sheetData>
      <sheetData sheetId="1273">
        <row r="1">
          <cell r="B1">
            <v>0</v>
          </cell>
        </row>
      </sheetData>
      <sheetData sheetId="1274">
        <row r="1">
          <cell r="B1">
            <v>0</v>
          </cell>
        </row>
      </sheetData>
      <sheetData sheetId="1275">
        <row r="1">
          <cell r="B1">
            <v>0</v>
          </cell>
        </row>
      </sheetData>
      <sheetData sheetId="1276">
        <row r="1">
          <cell r="B1">
            <v>0</v>
          </cell>
        </row>
      </sheetData>
      <sheetData sheetId="1277">
        <row r="1">
          <cell r="B1">
            <v>0</v>
          </cell>
        </row>
      </sheetData>
      <sheetData sheetId="1278">
        <row r="1">
          <cell r="B1">
            <v>0</v>
          </cell>
        </row>
      </sheetData>
      <sheetData sheetId="1279">
        <row r="1">
          <cell r="B1">
            <v>0</v>
          </cell>
        </row>
      </sheetData>
      <sheetData sheetId="1280">
        <row r="1">
          <cell r="B1">
            <v>0</v>
          </cell>
        </row>
      </sheetData>
      <sheetData sheetId="1281">
        <row r="1">
          <cell r="B1">
            <v>0</v>
          </cell>
        </row>
      </sheetData>
      <sheetData sheetId="1282">
        <row r="1">
          <cell r="B1">
            <v>0</v>
          </cell>
        </row>
      </sheetData>
      <sheetData sheetId="1283">
        <row r="1">
          <cell r="B1">
            <v>0</v>
          </cell>
        </row>
      </sheetData>
      <sheetData sheetId="1284">
        <row r="1">
          <cell r="B1">
            <v>0</v>
          </cell>
        </row>
      </sheetData>
      <sheetData sheetId="1285">
        <row r="1">
          <cell r="B1">
            <v>0</v>
          </cell>
        </row>
      </sheetData>
      <sheetData sheetId="1286">
        <row r="1">
          <cell r="B1">
            <v>0</v>
          </cell>
        </row>
      </sheetData>
      <sheetData sheetId="1287">
        <row r="1">
          <cell r="B1">
            <v>0</v>
          </cell>
        </row>
      </sheetData>
      <sheetData sheetId="1288">
        <row r="1">
          <cell r="B1">
            <v>0</v>
          </cell>
        </row>
      </sheetData>
      <sheetData sheetId="1289">
        <row r="1">
          <cell r="B1">
            <v>0</v>
          </cell>
        </row>
      </sheetData>
      <sheetData sheetId="1290">
        <row r="1">
          <cell r="B1">
            <v>0</v>
          </cell>
        </row>
      </sheetData>
      <sheetData sheetId="1291">
        <row r="1">
          <cell r="B1">
            <v>0</v>
          </cell>
        </row>
      </sheetData>
      <sheetData sheetId="1292">
        <row r="1">
          <cell r="B1">
            <v>0</v>
          </cell>
        </row>
      </sheetData>
      <sheetData sheetId="1293">
        <row r="1">
          <cell r="B1">
            <v>0</v>
          </cell>
        </row>
      </sheetData>
      <sheetData sheetId="1294">
        <row r="1">
          <cell r="B1">
            <v>0</v>
          </cell>
        </row>
      </sheetData>
      <sheetData sheetId="1295">
        <row r="1">
          <cell r="B1">
            <v>0</v>
          </cell>
        </row>
      </sheetData>
      <sheetData sheetId="1296">
        <row r="1">
          <cell r="B1">
            <v>0</v>
          </cell>
        </row>
      </sheetData>
      <sheetData sheetId="1297">
        <row r="1">
          <cell r="B1">
            <v>0</v>
          </cell>
        </row>
      </sheetData>
      <sheetData sheetId="1298">
        <row r="1">
          <cell r="B1">
            <v>0</v>
          </cell>
        </row>
      </sheetData>
      <sheetData sheetId="1299">
        <row r="1">
          <cell r="B1">
            <v>0</v>
          </cell>
        </row>
      </sheetData>
      <sheetData sheetId="1300">
        <row r="1">
          <cell r="B1">
            <v>0</v>
          </cell>
        </row>
      </sheetData>
      <sheetData sheetId="1301">
        <row r="1">
          <cell r="B1">
            <v>0</v>
          </cell>
        </row>
      </sheetData>
      <sheetData sheetId="1302">
        <row r="1">
          <cell r="B1">
            <v>0</v>
          </cell>
        </row>
      </sheetData>
      <sheetData sheetId="1303">
        <row r="1">
          <cell r="B1">
            <v>0</v>
          </cell>
        </row>
      </sheetData>
      <sheetData sheetId="1304">
        <row r="1">
          <cell r="B1">
            <v>0</v>
          </cell>
        </row>
      </sheetData>
      <sheetData sheetId="1305">
        <row r="1">
          <cell r="B1">
            <v>0</v>
          </cell>
        </row>
      </sheetData>
      <sheetData sheetId="1306">
        <row r="1">
          <cell r="B1">
            <v>0</v>
          </cell>
        </row>
      </sheetData>
      <sheetData sheetId="1307">
        <row r="1">
          <cell r="B1">
            <v>0</v>
          </cell>
        </row>
      </sheetData>
      <sheetData sheetId="1308">
        <row r="1">
          <cell r="B1">
            <v>0</v>
          </cell>
        </row>
      </sheetData>
      <sheetData sheetId="1309">
        <row r="1">
          <cell r="B1">
            <v>0</v>
          </cell>
        </row>
      </sheetData>
      <sheetData sheetId="1310">
        <row r="1">
          <cell r="B1">
            <v>0</v>
          </cell>
        </row>
      </sheetData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>
        <row r="1">
          <cell r="B1">
            <v>0</v>
          </cell>
        </row>
      </sheetData>
      <sheetData sheetId="1465"/>
      <sheetData sheetId="1466">
        <row r="1">
          <cell r="B1">
            <v>0</v>
          </cell>
        </row>
      </sheetData>
      <sheetData sheetId="1467"/>
      <sheetData sheetId="1468">
        <row r="1">
          <cell r="B1">
            <v>0</v>
          </cell>
        </row>
      </sheetData>
      <sheetData sheetId="1469"/>
      <sheetData sheetId="1470">
        <row r="1">
          <cell r="B1">
            <v>0</v>
          </cell>
        </row>
      </sheetData>
      <sheetData sheetId="1471"/>
      <sheetData sheetId="1472">
        <row r="1">
          <cell r="B1">
            <v>0</v>
          </cell>
        </row>
      </sheetData>
      <sheetData sheetId="1473"/>
      <sheetData sheetId="1474">
        <row r="1">
          <cell r="B1">
            <v>0</v>
          </cell>
        </row>
      </sheetData>
      <sheetData sheetId="1475"/>
      <sheetData sheetId="1476">
        <row r="1">
          <cell r="B1">
            <v>0</v>
          </cell>
        </row>
      </sheetData>
      <sheetData sheetId="1477"/>
      <sheetData sheetId="1478">
        <row r="1">
          <cell r="B1">
            <v>0</v>
          </cell>
        </row>
      </sheetData>
      <sheetData sheetId="1479" refreshError="1"/>
      <sheetData sheetId="1480" refreshError="1"/>
      <sheetData sheetId="1481">
        <row r="1">
          <cell r="B1">
            <v>0</v>
          </cell>
        </row>
      </sheetData>
      <sheetData sheetId="1482"/>
      <sheetData sheetId="1483">
        <row r="1">
          <cell r="B1">
            <v>0</v>
          </cell>
        </row>
      </sheetData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1">
          <cell r="B1">
            <v>0</v>
          </cell>
        </row>
      </sheetData>
      <sheetData sheetId="1507">
        <row r="1">
          <cell r="B1">
            <v>0</v>
          </cell>
        </row>
      </sheetData>
      <sheetData sheetId="1508">
        <row r="1">
          <cell r="B1">
            <v>0</v>
          </cell>
        </row>
      </sheetData>
      <sheetData sheetId="1509">
        <row r="1">
          <cell r="B1">
            <v>0</v>
          </cell>
        </row>
      </sheetData>
      <sheetData sheetId="1510"/>
      <sheetData sheetId="1511">
        <row r="1">
          <cell r="B1">
            <v>0</v>
          </cell>
        </row>
      </sheetData>
      <sheetData sheetId="1512">
        <row r="1">
          <cell r="B1">
            <v>0</v>
          </cell>
        </row>
      </sheetData>
      <sheetData sheetId="1513">
        <row r="1">
          <cell r="B1">
            <v>0</v>
          </cell>
        </row>
      </sheetData>
      <sheetData sheetId="1514"/>
      <sheetData sheetId="1515">
        <row r="1">
          <cell r="B1">
            <v>0</v>
          </cell>
        </row>
      </sheetData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вод_ИИР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Source lists"/>
      <sheetName val="Восстановл_Лист37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Форма 2.1"/>
      <sheetName val="БД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4">
          <cell r="B14" t="str">
            <v>работа с 48-60 канальной станцией</v>
          </cell>
        </row>
      </sheetData>
      <sheetData sheetId="1">
        <row r="6">
          <cell r="B6" t="str">
            <v>с 24-х канальной сейсмостанцией 1 кат.</v>
          </cell>
        </row>
        <row r="7">
          <cell r="B7" t="str">
            <v>с 24-х канальной сейсмостанцией 2 кат.</v>
          </cell>
        </row>
        <row r="8">
          <cell r="B8" t="str">
            <v>с 24-х канальной сейсмостанцией 3 кат.</v>
          </cell>
        </row>
        <row r="9">
          <cell r="B9" t="str">
            <v>с 24-х канальной сейсмостанцией 4 кат.</v>
          </cell>
        </row>
        <row r="10">
          <cell r="B10" t="str">
            <v>с 48-и канальной сейсмостанцией 1 кат.</v>
          </cell>
        </row>
        <row r="11">
          <cell r="B11" t="str">
            <v>с 48-и канальной сейсмостанцией 2 кат.</v>
          </cell>
        </row>
        <row r="12">
          <cell r="B12" t="str">
            <v>с 48-и канальной сейсмостанцией 3 кат.</v>
          </cell>
        </row>
        <row r="13">
          <cell r="B13" t="str">
            <v>с 48-и канальной сейсмостанцией 4 кат.</v>
          </cell>
        </row>
        <row r="16">
          <cell r="B16" t="str">
            <v>работа с 48-60 канальной станцией</v>
          </cell>
        </row>
        <row r="17">
          <cell r="B17" t="str">
            <v>работа с 2-я комп. вектора смещения</v>
          </cell>
        </row>
        <row r="18">
          <cell r="B18" t="str">
            <v>работа с промежуточной записью</v>
          </cell>
        </row>
        <row r="19">
          <cell r="B19" t="str">
            <v>работа с разборной установкой</v>
          </cell>
        </row>
        <row r="20">
          <cell r="B20" t="str">
            <v>снеговой покров более 50см</v>
          </cell>
        </row>
        <row r="21">
          <cell r="B21" t="str">
            <v>снеговой покров более 100см</v>
          </cell>
        </row>
        <row r="22">
          <cell r="B22" t="str">
            <v>работа в условиях помех</v>
          </cell>
        </row>
        <row r="23">
          <cell r="B23" t="str">
            <v>перенос оборудования до 200м</v>
          </cell>
        </row>
        <row r="24">
          <cell r="B24" t="str">
            <v>перенос оборудования более 200м</v>
          </cell>
        </row>
        <row r="25">
          <cell r="B25" t="str">
            <v>работа на территории со спец.режимом</v>
          </cell>
        </row>
        <row r="26">
          <cell r="B26" t="str">
            <v>работа в неблагоприятный период (4-5.5 мес.)</v>
          </cell>
        </row>
        <row r="27">
          <cell r="B27" t="str">
            <v>работа в неблагоприятный период (6-7.5 мес.)</v>
          </cell>
        </row>
        <row r="28">
          <cell r="B28" t="str">
            <v>горный район 1500-1700м</v>
          </cell>
        </row>
        <row r="29">
          <cell r="B29" t="str">
            <v>горный район 1700-2000м</v>
          </cell>
        </row>
        <row r="30">
          <cell r="B30" t="str">
            <v>горный район 2000-3000м</v>
          </cell>
        </row>
        <row r="31">
          <cell r="B31" t="str">
            <v>горный район &gt;3000м</v>
          </cell>
        </row>
        <row r="34">
          <cell r="B34" t="str">
            <v>АВ 100-250м симметр. 4-х электрод. устан. 1кат.</v>
          </cell>
        </row>
        <row r="35">
          <cell r="B35" t="str">
            <v>АВ 100-250м симметр. 4-х электрод. устан. 2кат.</v>
          </cell>
        </row>
        <row r="36">
          <cell r="B36" t="str">
            <v>АВ 100-250м симметр. 4-х электрод. устан. 3кат.</v>
          </cell>
        </row>
        <row r="37">
          <cell r="B37" t="str">
            <v>АВ 100-250м симметр. 4-х электрод. устан. 4кат.</v>
          </cell>
        </row>
        <row r="38">
          <cell r="B38" t="str">
            <v>АВ 250-500м симметр. 4-х электрод. устан. 1кат.</v>
          </cell>
        </row>
        <row r="39">
          <cell r="B39" t="str">
            <v>АВ 250-500м симметр. 4-х электрод. устан. 2кат.</v>
          </cell>
        </row>
        <row r="40">
          <cell r="B40" t="str">
            <v>АВ 250-500м симметр. 4-х электрод. устан. 3кат.</v>
          </cell>
        </row>
        <row r="41">
          <cell r="B41" t="str">
            <v>АВ 250-500м симметр. 4-х электрод. устан. 4кат.</v>
          </cell>
        </row>
        <row r="42">
          <cell r="B42" t="str">
            <v>АО 100-250м 3-х электрод. устан. 1кат.</v>
          </cell>
        </row>
        <row r="43">
          <cell r="B43" t="str">
            <v>АО 100-250м 3-х электрод. устан. 2кат.</v>
          </cell>
        </row>
        <row r="44">
          <cell r="B44" t="str">
            <v>АО 100-250м 3-х электрод. устан. 3кат.</v>
          </cell>
        </row>
        <row r="45">
          <cell r="B45" t="str">
            <v>АО 100-250м 3-х электрод. устан. 4кат.</v>
          </cell>
        </row>
        <row r="46">
          <cell r="B46" t="str">
            <v>АО 50-100м 3-х электрод. устан. 1кат.</v>
          </cell>
        </row>
        <row r="47">
          <cell r="B47" t="str">
            <v>АО 50-100м 3-х электрод. устан. 2кат.</v>
          </cell>
        </row>
        <row r="48">
          <cell r="B48" t="str">
            <v>АО 50-100м 3-х электрод. устан. 3кат.</v>
          </cell>
        </row>
        <row r="49">
          <cell r="B49" t="str">
            <v>АО 50-100м 3-х электрод. устан. 4кат.</v>
          </cell>
        </row>
        <row r="51">
          <cell r="B51" t="str">
            <v>за условия заземления</v>
          </cell>
        </row>
        <row r="52">
          <cell r="B52" t="str">
            <v>работа в сухих породах с подливом воды</v>
          </cell>
        </row>
        <row r="53">
          <cell r="B53" t="str">
            <v>разность потенциалов до 0.3 мВ</v>
          </cell>
        </row>
        <row r="54">
          <cell r="B54" t="str">
            <v>работа в мерзлой породе 2кат.</v>
          </cell>
        </row>
        <row r="55">
          <cell r="B55" t="str">
            <v>работа в мерзлой породе 3кат.</v>
          </cell>
        </row>
        <row r="56">
          <cell r="B56" t="str">
            <v>работа в мерзлой породе 4кат.</v>
          </cell>
        </row>
        <row r="57">
          <cell r="B57" t="str">
            <v>расстояния между точками от 1 до 2 АВ</v>
          </cell>
        </row>
        <row r="58">
          <cell r="B58" t="str">
            <v>расстояния между точками от 2 до 5 АВ</v>
          </cell>
        </row>
        <row r="59">
          <cell r="B59" t="str">
            <v>расстояния между точками больше 5 АВ</v>
          </cell>
        </row>
        <row r="60">
          <cell r="B60" t="str">
            <v>КВЭЗ 2 азимута</v>
          </cell>
        </row>
        <row r="61">
          <cell r="B61" t="str">
            <v>КВЭЗ 3 азимута</v>
          </cell>
        </row>
        <row r="62">
          <cell r="B62" t="str">
            <v>КВЭЗ 4 азимута</v>
          </cell>
        </row>
        <row r="63">
          <cell r="B63" t="str">
            <v>КВЭЗ 6 азимутов</v>
          </cell>
        </row>
        <row r="64">
          <cell r="B64" t="str">
            <v>снеговой покров более 50см</v>
          </cell>
        </row>
        <row r="65">
          <cell r="B65" t="str">
            <v>снеговой покров более 100см</v>
          </cell>
        </row>
        <row r="66">
          <cell r="B66" t="str">
            <v>работа в условиях помех</v>
          </cell>
        </row>
        <row r="67">
          <cell r="B67" t="str">
            <v>перенос оборудования до 200м</v>
          </cell>
        </row>
        <row r="68">
          <cell r="B68" t="str">
            <v>перенос оборудования более 200м</v>
          </cell>
        </row>
        <row r="69">
          <cell r="B69" t="str">
            <v>работа на территории со спец.режимом</v>
          </cell>
        </row>
        <row r="70">
          <cell r="B70" t="str">
            <v>работа в неблагоприятный период (4-5.5 мес.)</v>
          </cell>
        </row>
        <row r="71">
          <cell r="B71" t="str">
            <v>работа в неблагоприятный период (6-7.5 мес.)</v>
          </cell>
        </row>
        <row r="72">
          <cell r="B72" t="str">
            <v>горный район 1500-1700м</v>
          </cell>
        </row>
        <row r="73">
          <cell r="B73" t="str">
            <v>горный район 1700-2000м</v>
          </cell>
        </row>
        <row r="74">
          <cell r="B74" t="str">
            <v>горный район 2000-3000м</v>
          </cell>
        </row>
        <row r="75">
          <cell r="B75" t="str">
            <v>горный район &gt;3000м</v>
          </cell>
        </row>
        <row r="99">
          <cell r="B99" t="str">
            <v>расстояние между точками измерения 200-500м.</v>
          </cell>
        </row>
        <row r="100">
          <cell r="B100" t="str">
            <v>расстояние между точками измерения 500-1000м.</v>
          </cell>
        </row>
        <row r="102">
          <cell r="B102" t="str">
            <v>наблюдений при расстоянии 100-200 м., 1кат.</v>
          </cell>
        </row>
        <row r="103">
          <cell r="B103" t="str">
            <v>наблюдений при расстоянии 100-200 м., 2кат.</v>
          </cell>
        </row>
        <row r="104">
          <cell r="B104" t="str">
            <v>наблюдений при расстоянии 100-200 м., 3кат.</v>
          </cell>
        </row>
        <row r="105">
          <cell r="B105" t="str">
            <v>наблюдений при расстоянии 100-200 м., 4кат.</v>
          </cell>
        </row>
        <row r="106">
          <cell r="B106" t="str">
            <v>наблюдений при расстоянии 200-350 м., 1кат.</v>
          </cell>
        </row>
        <row r="107">
          <cell r="B107" t="str">
            <v>наблюдений при расстоянии 200-350 м., 2кат.</v>
          </cell>
        </row>
        <row r="108">
          <cell r="B108" t="str">
            <v>наблюдений при расстоянии 200-350 м., 3кат.</v>
          </cell>
        </row>
        <row r="109">
          <cell r="B109" t="str">
            <v>наблюдений при расстоянии 200-350 м., 4кат.</v>
          </cell>
        </row>
        <row r="110">
          <cell r="B110" t="str">
            <v>только высотная</v>
          </cell>
        </row>
        <row r="111">
          <cell r="B111" t="str">
            <v xml:space="preserve">только плановая </v>
          </cell>
        </row>
        <row r="121">
          <cell r="B121" t="str">
            <v>поправочный коэффициент</v>
          </cell>
        </row>
        <row r="122">
          <cell r="B122" t="str">
            <v>при двух типах волн</v>
          </cell>
        </row>
        <row r="123">
          <cell r="B123" t="str">
            <v>при одном типе волн</v>
          </cell>
        </row>
        <row r="124">
          <cell r="B124" t="str">
            <v>при работе с 48-канальной станцией</v>
          </cell>
        </row>
        <row r="125">
          <cell r="B125" t="str">
            <v>при спец.расчетах на ЭВМ</v>
          </cell>
        </row>
        <row r="127">
          <cell r="B127" t="str">
            <v>Расстояние от базы до участка изысканий 10-15км</v>
          </cell>
        </row>
        <row r="128">
          <cell r="B128" t="str">
            <v>Расстояние от базы до участка изысканий 15-20км</v>
          </cell>
        </row>
        <row r="129">
          <cell r="B129" t="str">
            <v>Расстояние от базы до участка изысканий 20-25км</v>
          </cell>
        </row>
        <row r="130">
          <cell r="B130" t="str">
            <v>Расстояние от базы до участка изысканий 5-10км</v>
          </cell>
        </row>
        <row r="131">
          <cell r="B131" t="str">
            <v>Расстояние от базы до участка изысканий до 5км</v>
          </cell>
        </row>
        <row r="166">
          <cell r="B166" t="str">
            <v>Расстояние проезда и перевозки 1000-2000км</v>
          </cell>
        </row>
        <row r="167">
          <cell r="B167" t="str">
            <v>Расстояние проезда и перевозки 100-300км</v>
          </cell>
        </row>
        <row r="168">
          <cell r="B168" t="str">
            <v>Расстояние проезда и перевозки 2000-4000км</v>
          </cell>
        </row>
        <row r="169">
          <cell r="B169" t="str">
            <v>Расстояние проезда и перевозки 25-100км</v>
          </cell>
        </row>
        <row r="170">
          <cell r="B170" t="str">
            <v>Расстояние проезда и перевозки 300-500км</v>
          </cell>
        </row>
        <row r="171">
          <cell r="B171" t="str">
            <v>Расстояние проезда и перевозки 500-1000км</v>
          </cell>
        </row>
        <row r="172">
          <cell r="B172" t="str">
            <v>Расстояние проезда и перевозки более 4000км</v>
          </cell>
        </row>
        <row r="174">
          <cell r="B174" t="str">
            <v>при продолжительности изысканий до 1мес.</v>
          </cell>
        </row>
        <row r="175">
          <cell r="B175" t="str">
            <v>при продолжительности изысканий до 2мес.</v>
          </cell>
        </row>
        <row r="176">
          <cell r="B176" t="str">
            <v>при продолжительности изысканий до 3мес.</v>
          </cell>
        </row>
        <row r="177">
          <cell r="B177" t="str">
            <v>при продолжительности изысканий до 6мес.</v>
          </cell>
        </row>
        <row r="208">
          <cell r="B208" t="str">
            <v xml:space="preserve">экспедиций </v>
          </cell>
        </row>
        <row r="209">
          <cell r="B209" t="str">
            <v>экспедиций  - 1.15</v>
          </cell>
        </row>
        <row r="210">
          <cell r="B210" t="str">
            <v>экспедиций  - 1.2</v>
          </cell>
        </row>
        <row r="211">
          <cell r="B211" t="str">
            <v>экспедиций  - 1.3</v>
          </cell>
        </row>
        <row r="212">
          <cell r="B212" t="str">
            <v>экспедиций  - 1.4</v>
          </cell>
        </row>
        <row r="213">
          <cell r="B213" t="str">
            <v>экспедиций  - 1.5</v>
          </cell>
        </row>
        <row r="214">
          <cell r="B214" t="str">
            <v>экспедиций  - 1.6</v>
          </cell>
        </row>
        <row r="215">
          <cell r="B215" t="str">
            <v>экспедиций  - 1.7</v>
          </cell>
        </row>
        <row r="216">
          <cell r="B216" t="str">
            <v>экспедиций  - 1.8</v>
          </cell>
        </row>
        <row r="217">
          <cell r="B217" t="str">
            <v>экспедиций  - 1.9</v>
          </cell>
        </row>
        <row r="218">
          <cell r="B218" t="str">
            <v>экспедиций  - 2</v>
          </cell>
        </row>
        <row r="219">
          <cell r="B219" t="str">
            <v>экспедиций - 1.1</v>
          </cell>
        </row>
        <row r="221">
          <cell r="B221" t="str">
            <v>-</v>
          </cell>
        </row>
        <row r="222">
          <cell r="B222" t="str">
            <v>Иркутской области, Красноярского края и Д. Востока</v>
          </cell>
        </row>
        <row r="223">
          <cell r="B223" t="str">
            <v>Крайнего Севера</v>
          </cell>
        </row>
        <row r="224">
          <cell r="B224" t="str">
            <v>месностях, приравненных к районам Крайнего Севера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4">
          <cell r="B14" t="str">
            <v>работа с 48-60 канальной станцией</v>
          </cell>
        </row>
      </sheetData>
      <sheetData sheetId="1">
        <row r="6">
          <cell r="B6" t="str">
            <v>с 24-х канальной сейсмостанцией 1 кат.</v>
          </cell>
        </row>
        <row r="78">
          <cell r="B78" t="str">
            <v>"бесконечность". 1000м. 1 кат.</v>
          </cell>
        </row>
        <row r="79">
          <cell r="B79" t="str">
            <v>"бесконечность". 1000м. 2 кат.</v>
          </cell>
        </row>
        <row r="80">
          <cell r="B80" t="str">
            <v>"бесконечность". 1000м. 3 кат.</v>
          </cell>
        </row>
        <row r="81">
          <cell r="B81" t="str">
            <v>"бесконечность". 1000м. 4 кат.</v>
          </cell>
        </row>
        <row r="82">
          <cell r="B82" t="str">
            <v>"бесконечность". 500м. 1 кат.</v>
          </cell>
        </row>
        <row r="83">
          <cell r="B83" t="str">
            <v>"бесконечность". 500м. 2 кат.</v>
          </cell>
        </row>
        <row r="84">
          <cell r="B84" t="str">
            <v>"бесконечность". 500м. 3 кат.</v>
          </cell>
        </row>
        <row r="85">
          <cell r="B85" t="str">
            <v>"бесконечность". 500м. 4 кат.</v>
          </cell>
        </row>
        <row r="94">
          <cell r="B94" t="str">
            <v>по схеме AA'MNB'B 1кат.</v>
          </cell>
        </row>
        <row r="95">
          <cell r="B95" t="str">
            <v>по схеме AA'MNB'B 2кат.</v>
          </cell>
        </row>
        <row r="96">
          <cell r="B96" t="str">
            <v>по схеме AA'MNB'B 3кат.</v>
          </cell>
        </row>
        <row r="97">
          <cell r="B97" t="str">
            <v>по схеме AA'MNB'B 4кат.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СметаСводная снег"/>
      <sheetName val="Дополнительные параметры"/>
      <sheetName val="топо"/>
      <sheetName val="свод"/>
      <sheetName val="Лист2"/>
      <sheetName val="93-110"/>
      <sheetName val="Лист опроса"/>
      <sheetName val="к.84-к.83"/>
      <sheetName val="Шкаф"/>
      <sheetName val="Коэфф1.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Данные для расчёта сметы"/>
      <sheetName val="Зап-3- СЦБ"/>
      <sheetName val="СМЕТА проект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DATA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информация"/>
      <sheetName val="Кредиты"/>
      <sheetName val="СметаСводная Рыб"/>
      <sheetName val="Нормы"/>
      <sheetName val="13.1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л_химз_1"/>
      <sheetName val="геология_1"/>
      <sheetName val="СметаСводная_снег"/>
      <sheetName val="Лист_опроса"/>
      <sheetName val="к_84-к_83"/>
      <sheetName val="Коэфф1_"/>
      <sheetName val="Прайс_лист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Данные_для_расчёта_сметы"/>
      <sheetName val="Зап-3-_СЦБ"/>
      <sheetName val="СМЕТА_проект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Пример_расчета"/>
      <sheetName val="свод_2"/>
      <sheetName val="СметаСводная_Рыб"/>
      <sheetName val="13_1"/>
      <sheetName val="Текущие_цены"/>
      <sheetName val="отчет_эл_эн__2000"/>
      <sheetName val="справ_1"/>
      <sheetName val="Дополнительные_параметры"/>
      <sheetName val="ПОДПИСИ"/>
      <sheetName val="РАСЧЕТ"/>
      <sheetName val="КП (2)"/>
      <sheetName val="Бюджет"/>
      <sheetName val="Norm"/>
      <sheetName val="6.3"/>
      <sheetName val="6.7"/>
      <sheetName val="6.3.1.3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СметаСводная 1 оч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Св. смета"/>
      <sheetName val="РБС ИЗМ1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Rub"/>
      <sheetName val="Общая часть"/>
      <sheetName val="Табл.5"/>
      <sheetName val="свод_ИИР"/>
      <sheetName val="1155"/>
      <sheetName val="HP_и_оргтехника"/>
      <sheetName val="выборка на22 июня"/>
      <sheetName val="свод_3"/>
      <sheetName val="ОПС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Lucent"/>
      <sheetName val="ИД СМР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геолог"/>
      <sheetName val="Курс доллара"/>
      <sheetName val="Календарь новый"/>
      <sheetName val="15"/>
      <sheetName val="Source lists"/>
      <sheetName val="Восстановл_Лист37"/>
      <sheetName val="Смета № 1 ИИ линия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PO Data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Прибыль_опл"/>
      <sheetName val="Амур_ДОН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СМ"/>
      <sheetName val="СМИС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 доллара"/>
      <sheetName val="Лист1"/>
      <sheetName val="Лист3"/>
      <sheetName val="Данные для расчёта сметы"/>
      <sheetName val="топография"/>
      <sheetName val="Курс_доллара"/>
      <sheetName val="ПО 1-7"/>
      <sheetName val="СметаСводная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ps198"/>
      <sheetName val="ОПС"/>
      <sheetName val="Дог цена"/>
      <sheetName val="Курс $"/>
      <sheetName val="к-ты"/>
      <sheetName val="Сводный СР"/>
      <sheetName val="ИМЯ"/>
      <sheetName val="Имя2"/>
      <sheetName val="консолидация"/>
      <sheetName val="счет-фактура"/>
      <sheetName val="Сводная смета"/>
      <sheetName val="выборка на22 июня"/>
      <sheetName val="ид смр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Справка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химреаг."/>
      <sheetName val="12"/>
      <sheetName val="оборуд_1"/>
      <sheetName val="Расчет_ССР"/>
      <sheetName val="(свод)"/>
      <sheetName val="D"/>
      <sheetName val="Списки"/>
      <sheetName val="Ресурсы"/>
      <sheetName val="Объекты"/>
      <sheetName val="исх-данные"/>
    </sheetNames>
    <sheetDataSet>
      <sheetData sheetId="0" refreshError="1">
        <row r="2">
          <cell r="A2">
            <v>25</v>
          </cell>
        </row>
      </sheetData>
      <sheetData sheetId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A2">
            <v>25</v>
          </cell>
        </row>
      </sheetData>
      <sheetData sheetId="29">
        <row r="2">
          <cell r="A2">
            <v>25</v>
          </cell>
        </row>
      </sheetData>
      <sheetData sheetId="30">
        <row r="2">
          <cell r="A2">
            <v>25</v>
          </cell>
        </row>
      </sheetData>
      <sheetData sheetId="31">
        <row r="2">
          <cell r="A2">
            <v>25</v>
          </cell>
        </row>
      </sheetData>
      <sheetData sheetId="32">
        <row r="2">
          <cell r="A2">
            <v>25</v>
          </cell>
        </row>
      </sheetData>
      <sheetData sheetId="33">
        <row r="2">
          <cell r="A2">
            <v>25</v>
          </cell>
        </row>
      </sheetData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>
            <v>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3труба (П)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Виды работ АСО"/>
      <sheetName val="Объем работ"/>
      <sheetName val="таблица_руко_x0019__x0015__x0009__x0003__x000c__x0011__x0011_"/>
      <sheetName val="ФОТ для смет"/>
      <sheetName val="ЛС_РЕС"/>
      <sheetName val="таблица_руко_x0019__x0015_ _x0003__x000c__x0011__x0011_"/>
      <sheetName val="BACT"/>
      <sheetName val="СВ 2"/>
      <sheetName val="СМ"/>
      <sheetName val="6"/>
      <sheetName val="1.14"/>
      <sheetName val="1.7"/>
      <sheetName val="_x0000__x0000_"/>
      <sheetName val="MararashAA"/>
      <sheetName val="ПРОЦЕНТЫ"/>
      <sheetName val="Бл.электр."/>
      <sheetName val="8"/>
      <sheetName val="ПД-2.2"/>
      <sheetName val="2 Геология"/>
      <sheetName val="Общ"/>
      <sheetName val="Норм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База"/>
      <sheetName val="ИД ПНР"/>
      <sheetName val="#ССЫЛКА"/>
      <sheetName val="basa"/>
      <sheetName val="пофакторный"/>
      <sheetName val="РАСШИФ_ЦЕХ_РАСХ"/>
      <sheetName val="топ"/>
      <sheetName val="кап.ремонт"/>
      <sheetName val="Дог_рас"/>
      <sheetName val="Ограничения шаблон"/>
      <sheetName val="Обор"/>
      <sheetName val="1.2_"/>
      <sheetName val="Лист"/>
      <sheetName val="Исх"/>
      <sheetName val="Base"/>
      <sheetName val="анализ 2003_2004исполнение МТО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Main list"/>
      <sheetName val="Panduit"/>
      <sheetName val="3_гидромет"/>
      <sheetName val="Приложение 2"/>
      <sheetName val=" Свод"/>
      <sheetName val="Пра"/>
      <sheetName val="исключ ЭХЗ"/>
      <sheetName val="БДР"/>
      <sheetName val="КБК ДПК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1"/>
      <sheetName val="ПС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ПС_x0000__x0000__x0000__x0000__x0000__x0000_"/>
      <sheetName val="ЕТС (ф)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Смета 7"/>
      <sheetName val="Бл_электр_"/>
      <sheetName val="См_3_АСУ"/>
      <sheetName val="Полигон_-_ИЭИ_"/>
      <sheetName val="Прил.5 СС"/>
      <sheetName val="расчет вязкости"/>
      <sheetName val="Сравнение с Finder - ДНС-5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GLOBAL"/>
      <sheetName val="Прочее"/>
      <sheetName val="ИНСТРУКЦИЯ"/>
      <sheetName val="темп"/>
      <sheetName val="ЛЧ Р"/>
      <sheetName val="2.1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СВ"/>
      <sheetName val="Настройки"/>
      <sheetName val="Производство электроэнергии"/>
      <sheetName val="Т11"/>
      <sheetName val="Т12"/>
      <sheetName val="Т7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Исх. данные"/>
      <sheetName val="Промер глуб"/>
      <sheetName val="SENSITIVITY"/>
      <sheetName val="Список_объектов"/>
      <sheetName val="Коэффициенты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>
        <row r="1">
          <cell r="B1">
            <v>0</v>
          </cell>
        </row>
      </sheetData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1">
          <cell r="B1">
            <v>0</v>
          </cell>
        </row>
      </sheetData>
      <sheetData sheetId="1241"/>
      <sheetData sheetId="1242">
        <row r="1">
          <cell r="B1">
            <v>0</v>
          </cell>
        </row>
      </sheetData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2">
          <cell r="B2" t="str">
            <v>Сейсморазведка МОВ-ОГТ на двух типах волн</v>
          </cell>
        </row>
        <row r="3">
          <cell r="B3" t="str">
            <v>Сейсморазведка МПВ на одном типе волн</v>
          </cell>
        </row>
        <row r="4">
          <cell r="B4" t="str">
            <v>Сейсморазведка МПВ на двух типах волн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view="pageBreakPreview" zoomScaleNormal="100" zoomScaleSheetLayoutView="100" workbookViewId="0">
      <selection activeCell="F30" sqref="F30"/>
    </sheetView>
  </sheetViews>
  <sheetFormatPr defaultColWidth="8.92578125" defaultRowHeight="18.5" x14ac:dyDescent="0.45"/>
  <cols>
    <col min="1" max="1" width="3.0703125" customWidth="1"/>
    <col min="2" max="2" width="27" customWidth="1"/>
    <col min="3" max="3" width="5.5703125" customWidth="1"/>
    <col min="4" max="4" width="5.92578125" customWidth="1"/>
    <col min="5" max="5" width="8.0703125" customWidth="1"/>
    <col min="6" max="6" width="10.0703125" customWidth="1"/>
    <col min="7" max="7" width="6.5703125" customWidth="1"/>
    <col min="8" max="8" width="5.28515625" customWidth="1"/>
    <col min="9" max="9" width="3.92578125" customWidth="1"/>
    <col min="10" max="10" width="3.42578125" customWidth="1"/>
    <col min="11" max="11" width="9.5703125" customWidth="1"/>
  </cols>
  <sheetData>
    <row r="1" spans="1:11" x14ac:dyDescent="0.45">
      <c r="A1" s="1"/>
      <c r="B1" s="2"/>
      <c r="C1" s="2"/>
      <c r="D1" s="3"/>
      <c r="E1" s="3"/>
      <c r="F1" s="4"/>
      <c r="G1" s="3"/>
      <c r="H1" s="3"/>
      <c r="I1" s="3"/>
      <c r="J1" s="3"/>
      <c r="K1" s="4"/>
    </row>
    <row r="2" spans="1:11" x14ac:dyDescent="0.45">
      <c r="A2" s="146" t="s">
        <v>24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 x14ac:dyDescent="0.45">
      <c r="A3" s="146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ht="19" thickBot="1" x14ac:dyDescent="0.5">
      <c r="A4" s="5"/>
      <c r="B4" s="5"/>
      <c r="C4" s="42"/>
      <c r="D4" s="42" t="s">
        <v>20</v>
      </c>
      <c r="E4" s="42"/>
      <c r="F4" s="42"/>
      <c r="G4" s="42"/>
      <c r="H4" s="27"/>
      <c r="I4" s="27"/>
      <c r="J4" s="27"/>
      <c r="K4" s="5"/>
    </row>
    <row r="5" spans="1:11" x14ac:dyDescent="0.45">
      <c r="A5" s="6"/>
      <c r="B5" s="7"/>
      <c r="C5" s="7"/>
      <c r="D5" s="147" t="s">
        <v>1</v>
      </c>
      <c r="E5" s="147"/>
      <c r="F5" s="147"/>
      <c r="G5" s="147"/>
      <c r="H5" s="148"/>
      <c r="I5" s="28"/>
      <c r="J5" s="28"/>
      <c r="K5" s="8"/>
    </row>
    <row r="6" spans="1:11" x14ac:dyDescent="0.45">
      <c r="A6" s="3"/>
      <c r="B6" s="3"/>
      <c r="C6" s="3"/>
      <c r="D6" s="3"/>
      <c r="E6" s="3"/>
      <c r="F6" s="4"/>
      <c r="G6" s="3"/>
      <c r="H6" s="3"/>
      <c r="I6" s="3"/>
      <c r="J6" s="3"/>
      <c r="K6" s="4"/>
    </row>
    <row r="7" spans="1:11" ht="25.5" customHeight="1" thickBot="1" x14ac:dyDescent="0.5">
      <c r="A7" s="149" t="s">
        <v>2</v>
      </c>
      <c r="B7" s="149"/>
      <c r="C7" s="149"/>
      <c r="D7" s="150" t="s">
        <v>108</v>
      </c>
      <c r="E7" s="150"/>
      <c r="F7" s="150"/>
      <c r="G7" s="150"/>
      <c r="H7" s="150"/>
      <c r="I7" s="150"/>
      <c r="J7" s="150"/>
      <c r="K7" s="150"/>
    </row>
    <row r="8" spans="1:11" ht="12.75" customHeight="1" x14ac:dyDescent="0.45">
      <c r="A8" s="3"/>
      <c r="B8" s="3"/>
      <c r="C8" s="3"/>
      <c r="D8" s="3"/>
      <c r="E8" s="3"/>
      <c r="F8" s="4"/>
      <c r="G8" s="3"/>
      <c r="H8" s="3"/>
      <c r="I8" s="3"/>
      <c r="J8" s="3"/>
      <c r="K8" s="4"/>
    </row>
    <row r="9" spans="1:11" ht="15.75" customHeight="1" thickBot="1" x14ac:dyDescent="0.5">
      <c r="A9" s="151" t="s">
        <v>3</v>
      </c>
      <c r="B9" s="151"/>
      <c r="C9" s="151"/>
      <c r="D9" s="152" t="s">
        <v>86</v>
      </c>
      <c r="E9" s="152"/>
      <c r="F9" s="152"/>
      <c r="G9" s="152"/>
      <c r="H9" s="152"/>
      <c r="I9" s="152"/>
      <c r="J9" s="152"/>
      <c r="K9" s="152"/>
    </row>
    <row r="10" spans="1:11" ht="13.5" customHeight="1" x14ac:dyDescent="0.45">
      <c r="A10" s="3"/>
      <c r="B10" s="3"/>
      <c r="C10" s="3"/>
      <c r="D10" s="3"/>
      <c r="E10" s="26"/>
      <c r="F10" s="4"/>
      <c r="G10" s="3"/>
      <c r="H10" s="3"/>
      <c r="I10" s="3"/>
      <c r="J10" s="3"/>
      <c r="K10" s="4"/>
    </row>
    <row r="11" spans="1:11" ht="14.25" customHeight="1" thickBot="1" x14ac:dyDescent="0.5">
      <c r="A11" s="151" t="s">
        <v>4</v>
      </c>
      <c r="B11" s="151"/>
      <c r="C11" s="151"/>
      <c r="D11" s="152"/>
      <c r="E11" s="152"/>
      <c r="F11" s="152"/>
      <c r="G11" s="152"/>
      <c r="H11" s="152"/>
      <c r="I11" s="152"/>
      <c r="J11" s="152"/>
      <c r="K11" s="152"/>
    </row>
    <row r="12" spans="1:11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  <c r="K12" s="4"/>
    </row>
    <row r="13" spans="1:11" x14ac:dyDescent="0.45">
      <c r="A13" s="151" t="s">
        <v>5</v>
      </c>
      <c r="B13" s="151"/>
      <c r="C13" s="151"/>
      <c r="D13" s="153" t="s">
        <v>21</v>
      </c>
      <c r="E13" s="154"/>
      <c r="F13" s="154"/>
      <c r="G13" s="154"/>
      <c r="H13" s="154"/>
      <c r="I13" s="154"/>
      <c r="J13" s="154"/>
      <c r="K13" s="154"/>
    </row>
    <row r="14" spans="1:11" ht="19" thickBot="1" x14ac:dyDescent="0.5">
      <c r="A14" s="9"/>
      <c r="B14" s="10"/>
      <c r="C14" s="10"/>
      <c r="D14" s="10"/>
      <c r="E14" s="11"/>
      <c r="F14" s="10"/>
      <c r="G14" s="12"/>
      <c r="H14" s="12"/>
      <c r="I14" s="12"/>
      <c r="J14" s="12"/>
      <c r="K14" s="13"/>
    </row>
    <row r="15" spans="1:11" ht="42.75" customHeight="1" x14ac:dyDescent="0.45">
      <c r="A15" s="141" t="s">
        <v>6</v>
      </c>
      <c r="B15" s="141" t="s">
        <v>7</v>
      </c>
      <c r="C15" s="143" t="s">
        <v>41</v>
      </c>
      <c r="D15" s="141" t="s">
        <v>8</v>
      </c>
      <c r="E15" s="144" t="s">
        <v>9</v>
      </c>
      <c r="F15" s="141" t="s">
        <v>25</v>
      </c>
      <c r="G15" s="127" t="s">
        <v>22</v>
      </c>
      <c r="H15" s="127" t="s">
        <v>23</v>
      </c>
      <c r="I15" s="127"/>
      <c r="J15" s="127"/>
      <c r="K15" s="129" t="s">
        <v>42</v>
      </c>
    </row>
    <row r="16" spans="1:11" x14ac:dyDescent="0.45">
      <c r="A16" s="142"/>
      <c r="B16" s="142"/>
      <c r="C16" s="141"/>
      <c r="D16" s="142"/>
      <c r="E16" s="145"/>
      <c r="F16" s="142"/>
      <c r="G16" s="128"/>
      <c r="H16" s="25" t="s">
        <v>11</v>
      </c>
      <c r="I16" s="25" t="s">
        <v>12</v>
      </c>
      <c r="J16" s="25" t="s">
        <v>13</v>
      </c>
      <c r="K16" s="130"/>
    </row>
    <row r="17" spans="1:12" ht="19" thickBot="1" x14ac:dyDescent="0.5">
      <c r="A17" s="14">
        <v>1</v>
      </c>
      <c r="B17" s="15">
        <v>2</v>
      </c>
      <c r="C17" s="15">
        <v>3</v>
      </c>
      <c r="D17" s="15">
        <v>4</v>
      </c>
      <c r="E17" s="15">
        <v>5</v>
      </c>
      <c r="F17" s="15">
        <v>6</v>
      </c>
      <c r="G17" s="15">
        <v>7</v>
      </c>
      <c r="H17" s="15">
        <v>8</v>
      </c>
      <c r="I17" s="15">
        <v>9</v>
      </c>
      <c r="J17" s="15">
        <v>10</v>
      </c>
      <c r="K17" s="15">
        <v>11</v>
      </c>
    </row>
    <row r="18" spans="1:12" x14ac:dyDescent="0.45">
      <c r="A18" s="131" t="s">
        <v>14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3"/>
    </row>
    <row r="19" spans="1:12" x14ac:dyDescent="0.45">
      <c r="A19" s="106"/>
      <c r="B19" s="107"/>
      <c r="C19" s="107"/>
      <c r="D19" s="107"/>
      <c r="E19" s="107"/>
      <c r="F19" s="107"/>
      <c r="G19" s="107"/>
      <c r="H19" s="107"/>
      <c r="I19" s="107"/>
      <c r="J19" s="107"/>
      <c r="K19" s="108"/>
    </row>
    <row r="20" spans="1:12" ht="52" x14ac:dyDescent="0.45">
      <c r="A20" s="101">
        <v>1</v>
      </c>
      <c r="B20" s="17" t="s">
        <v>121</v>
      </c>
      <c r="C20" s="82" t="s">
        <v>122</v>
      </c>
      <c r="D20" s="18" t="s">
        <v>31</v>
      </c>
      <c r="E20" s="18">
        <v>5.2</v>
      </c>
      <c r="F20" s="20" t="s">
        <v>123</v>
      </c>
      <c r="G20" s="19">
        <v>2233</v>
      </c>
      <c r="H20" s="19">
        <v>1.5</v>
      </c>
      <c r="I20" s="18">
        <v>1</v>
      </c>
      <c r="J20" s="18">
        <v>1</v>
      </c>
      <c r="K20" s="19">
        <f>ROUND(E20*G20*H20*I20*J20,2)</f>
        <v>17417.400000000001</v>
      </c>
    </row>
    <row r="21" spans="1:12" ht="39" x14ac:dyDescent="0.45">
      <c r="A21" s="101">
        <v>2</v>
      </c>
      <c r="B21" s="17" t="s">
        <v>124</v>
      </c>
      <c r="C21" s="82" t="s">
        <v>109</v>
      </c>
      <c r="D21" s="18" t="s">
        <v>104</v>
      </c>
      <c r="E21" s="39">
        <v>3</v>
      </c>
      <c r="F21" s="20" t="s">
        <v>114</v>
      </c>
      <c r="G21" s="19">
        <v>6426</v>
      </c>
      <c r="H21" s="18">
        <v>1</v>
      </c>
      <c r="I21" s="18">
        <v>1.3</v>
      </c>
      <c r="J21" s="18">
        <v>1</v>
      </c>
      <c r="K21" s="19">
        <f t="shared" ref="K21:K22" si="0">ROUND(E21*G21*H21*I21*J21,2)</f>
        <v>25061.4</v>
      </c>
    </row>
    <row r="22" spans="1:12" ht="26" x14ac:dyDescent="0.45">
      <c r="A22" s="101">
        <v>3</v>
      </c>
      <c r="B22" s="17" t="s">
        <v>110</v>
      </c>
      <c r="C22" s="82" t="s">
        <v>109</v>
      </c>
      <c r="D22" s="18" t="s">
        <v>104</v>
      </c>
      <c r="E22" s="39">
        <v>3</v>
      </c>
      <c r="F22" s="20" t="s">
        <v>105</v>
      </c>
      <c r="G22" s="19">
        <v>1897</v>
      </c>
      <c r="H22" s="19">
        <v>1</v>
      </c>
      <c r="I22" s="18">
        <v>1</v>
      </c>
      <c r="J22" s="18">
        <v>1</v>
      </c>
      <c r="K22" s="19">
        <f t="shared" si="0"/>
        <v>5691</v>
      </c>
    </row>
    <row r="23" spans="1:12" ht="39" x14ac:dyDescent="0.45">
      <c r="A23" s="101">
        <v>4</v>
      </c>
      <c r="B23" s="17" t="s">
        <v>125</v>
      </c>
      <c r="C23" s="82" t="s">
        <v>126</v>
      </c>
      <c r="D23" s="18" t="s">
        <v>120</v>
      </c>
      <c r="E23" s="39">
        <v>30</v>
      </c>
      <c r="F23" s="20" t="s">
        <v>127</v>
      </c>
      <c r="G23" s="19">
        <v>81</v>
      </c>
      <c r="H23" s="19">
        <v>1</v>
      </c>
      <c r="I23" s="18">
        <v>1</v>
      </c>
      <c r="J23" s="18">
        <v>1</v>
      </c>
      <c r="K23" s="19">
        <f t="shared" ref="K23" si="1">ROUND(E23*G23*H23*I23*J23,2)</f>
        <v>2430</v>
      </c>
    </row>
    <row r="24" spans="1:12" ht="18.75" customHeight="1" x14ac:dyDescent="0.45">
      <c r="A24" s="102"/>
      <c r="B24" s="103" t="s">
        <v>16</v>
      </c>
      <c r="C24" s="103"/>
      <c r="D24" s="18" t="s">
        <v>15</v>
      </c>
      <c r="E24" s="18" t="s">
        <v>15</v>
      </c>
      <c r="F24" s="18" t="s">
        <v>15</v>
      </c>
      <c r="G24" s="18" t="s">
        <v>15</v>
      </c>
      <c r="H24" s="18" t="s">
        <v>15</v>
      </c>
      <c r="I24" s="18" t="s">
        <v>15</v>
      </c>
      <c r="J24" s="18" t="s">
        <v>15</v>
      </c>
      <c r="K24" s="46">
        <f>ROUND(SUM(K20:K23),2)</f>
        <v>50599.8</v>
      </c>
    </row>
    <row r="25" spans="1:12" ht="18.75" customHeight="1" x14ac:dyDescent="0.45">
      <c r="A25" s="134" t="s">
        <v>37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2" ht="78" x14ac:dyDescent="0.45">
      <c r="A26" s="101">
        <v>5</v>
      </c>
      <c r="B26" s="17" t="s">
        <v>129</v>
      </c>
      <c r="C26" s="82" t="s">
        <v>126</v>
      </c>
      <c r="D26" s="18" t="s">
        <v>31</v>
      </c>
      <c r="E26" s="18">
        <v>5.2</v>
      </c>
      <c r="F26" s="20" t="s">
        <v>128</v>
      </c>
      <c r="G26" s="19">
        <v>737</v>
      </c>
      <c r="H26" s="19">
        <v>1.55</v>
      </c>
      <c r="I26" s="18">
        <v>1.1000000000000001</v>
      </c>
      <c r="J26" s="18">
        <v>1.2</v>
      </c>
      <c r="K26" s="19">
        <f t="shared" ref="K26:K30" si="2">ROUND(E26*G26*H26*I26*J26,2)</f>
        <v>7841.09</v>
      </c>
    </row>
    <row r="27" spans="1:12" ht="26" x14ac:dyDescent="0.45">
      <c r="A27" s="101">
        <v>6</v>
      </c>
      <c r="B27" s="17" t="s">
        <v>111</v>
      </c>
      <c r="C27" s="82" t="s">
        <v>109</v>
      </c>
      <c r="D27" s="18" t="s">
        <v>104</v>
      </c>
      <c r="E27" s="39">
        <v>3</v>
      </c>
      <c r="F27" s="20" t="s">
        <v>106</v>
      </c>
      <c r="G27" s="19">
        <v>2538</v>
      </c>
      <c r="H27" s="18">
        <v>1</v>
      </c>
      <c r="I27" s="18">
        <v>1</v>
      </c>
      <c r="J27" s="18">
        <v>1</v>
      </c>
      <c r="K27" s="19">
        <f t="shared" si="2"/>
        <v>7614</v>
      </c>
    </row>
    <row r="28" spans="1:12" ht="26" x14ac:dyDescent="0.45">
      <c r="A28" s="101">
        <v>7</v>
      </c>
      <c r="B28" s="17" t="s">
        <v>112</v>
      </c>
      <c r="C28" s="82" t="s">
        <v>109</v>
      </c>
      <c r="D28" s="18" t="s">
        <v>104</v>
      </c>
      <c r="E28" s="39">
        <v>3</v>
      </c>
      <c r="F28" s="20" t="s">
        <v>107</v>
      </c>
      <c r="G28" s="19">
        <v>428</v>
      </c>
      <c r="H28" s="18">
        <v>1</v>
      </c>
      <c r="I28" s="18">
        <v>1</v>
      </c>
      <c r="J28" s="18">
        <v>1</v>
      </c>
      <c r="K28" s="19">
        <f t="shared" si="2"/>
        <v>1284</v>
      </c>
    </row>
    <row r="29" spans="1:12" ht="26" x14ac:dyDescent="0.45">
      <c r="A29" s="101">
        <v>8</v>
      </c>
      <c r="B29" s="17" t="s">
        <v>35</v>
      </c>
      <c r="C29" s="17"/>
      <c r="D29" s="18" t="s">
        <v>88</v>
      </c>
      <c r="E29" s="39">
        <v>7</v>
      </c>
      <c r="F29" s="20" t="s">
        <v>36</v>
      </c>
      <c r="G29" s="19">
        <v>480</v>
      </c>
      <c r="H29" s="18">
        <v>1</v>
      </c>
      <c r="I29" s="18">
        <v>1</v>
      </c>
      <c r="J29" s="18">
        <v>1</v>
      </c>
      <c r="K29" s="19">
        <f t="shared" si="2"/>
        <v>3360</v>
      </c>
    </row>
    <row r="30" spans="1:12" ht="26" x14ac:dyDescent="0.45">
      <c r="A30" s="101">
        <v>9</v>
      </c>
      <c r="B30" s="17" t="s">
        <v>133</v>
      </c>
      <c r="C30" s="17"/>
      <c r="D30" s="18" t="s">
        <v>104</v>
      </c>
      <c r="E30" s="39">
        <v>7</v>
      </c>
      <c r="F30" s="20" t="s">
        <v>134</v>
      </c>
      <c r="G30" s="19">
        <v>160</v>
      </c>
      <c r="H30" s="18">
        <v>1</v>
      </c>
      <c r="I30" s="18">
        <v>1</v>
      </c>
      <c r="J30" s="18">
        <v>1</v>
      </c>
      <c r="K30" s="19">
        <f t="shared" si="2"/>
        <v>1120</v>
      </c>
      <c r="L30" s="121"/>
    </row>
    <row r="31" spans="1:12" ht="30.75" customHeight="1" x14ac:dyDescent="0.45">
      <c r="A31" s="105"/>
      <c r="B31" s="103" t="s">
        <v>19</v>
      </c>
      <c r="C31" s="103"/>
      <c r="D31" s="18" t="s">
        <v>15</v>
      </c>
      <c r="E31" s="18" t="s">
        <v>15</v>
      </c>
      <c r="F31" s="18" t="s">
        <v>15</v>
      </c>
      <c r="G31" s="18" t="s">
        <v>15</v>
      </c>
      <c r="H31" s="18" t="s">
        <v>15</v>
      </c>
      <c r="I31" s="18" t="s">
        <v>15</v>
      </c>
      <c r="J31" s="18" t="s">
        <v>15</v>
      </c>
      <c r="K31" s="46">
        <f>ROUND(SUM(K26:K30),2)</f>
        <v>21219.09</v>
      </c>
    </row>
    <row r="32" spans="1:12" ht="37.5" customHeight="1" x14ac:dyDescent="0.45">
      <c r="A32" s="135" t="s">
        <v>38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</row>
    <row r="33" spans="1:11" ht="54" x14ac:dyDescent="0.45">
      <c r="A33" s="84"/>
      <c r="B33" s="100" t="s">
        <v>7</v>
      </c>
      <c r="C33" s="136" t="s">
        <v>71</v>
      </c>
      <c r="D33" s="137"/>
      <c r="E33" s="84" t="s">
        <v>72</v>
      </c>
      <c r="F33" s="84" t="s">
        <v>25</v>
      </c>
      <c r="G33" s="138" t="s">
        <v>73</v>
      </c>
      <c r="H33" s="139"/>
      <c r="I33" s="139"/>
      <c r="J33" s="140"/>
      <c r="K33" s="84" t="s">
        <v>74</v>
      </c>
    </row>
    <row r="34" spans="1:11" x14ac:dyDescent="0.45">
      <c r="A34" s="111"/>
      <c r="B34" s="110"/>
      <c r="C34" s="112"/>
      <c r="D34" s="113"/>
      <c r="E34" s="111"/>
      <c r="F34" s="111"/>
      <c r="G34" s="114"/>
      <c r="H34" s="115"/>
      <c r="I34" s="115"/>
      <c r="J34" s="116"/>
      <c r="K34" s="111"/>
    </row>
    <row r="35" spans="1:11" ht="26" x14ac:dyDescent="0.45">
      <c r="A35" s="101">
        <v>10</v>
      </c>
      <c r="B35" s="17" t="s">
        <v>130</v>
      </c>
      <c r="C35" s="82">
        <v>8.75</v>
      </c>
      <c r="D35" s="18" t="s">
        <v>33</v>
      </c>
      <c r="E35" s="39">
        <f t="shared" ref="E35" si="3">$K$24</f>
        <v>50599.8</v>
      </c>
      <c r="F35" s="20" t="s">
        <v>131</v>
      </c>
      <c r="G35" s="18">
        <v>1</v>
      </c>
      <c r="H35" s="83">
        <v>1</v>
      </c>
      <c r="I35" s="83">
        <v>1</v>
      </c>
      <c r="J35" s="83">
        <v>1</v>
      </c>
      <c r="K35" s="19">
        <f t="shared" ref="K35:K36" si="4">ROUND(C35/100*E35*G35*H35*I35*J35,2)</f>
        <v>4427.4799999999996</v>
      </c>
    </row>
    <row r="36" spans="1:11" ht="39" x14ac:dyDescent="0.45">
      <c r="A36" s="101">
        <v>11</v>
      </c>
      <c r="B36" s="17" t="s">
        <v>132</v>
      </c>
      <c r="C36" s="82">
        <v>36.4</v>
      </c>
      <c r="D36" s="18" t="s">
        <v>33</v>
      </c>
      <c r="E36" s="39">
        <f>$K$24+K35</f>
        <v>55027.28</v>
      </c>
      <c r="F36" s="20" t="s">
        <v>113</v>
      </c>
      <c r="G36" s="18">
        <v>1</v>
      </c>
      <c r="H36" s="83">
        <v>1</v>
      </c>
      <c r="I36" s="83">
        <v>1</v>
      </c>
      <c r="J36" s="83">
        <v>1</v>
      </c>
      <c r="K36" s="19">
        <f t="shared" si="4"/>
        <v>20029.93</v>
      </c>
    </row>
    <row r="37" spans="1:11" ht="26" x14ac:dyDescent="0.45">
      <c r="A37" s="101">
        <v>12</v>
      </c>
      <c r="B37" s="17" t="s">
        <v>17</v>
      </c>
      <c r="C37" s="82">
        <v>6</v>
      </c>
      <c r="D37" s="18" t="s">
        <v>33</v>
      </c>
      <c r="E37" s="39">
        <f>$K$24+K35</f>
        <v>55027.28</v>
      </c>
      <c r="F37" s="20" t="s">
        <v>75</v>
      </c>
      <c r="G37" s="18">
        <v>2</v>
      </c>
      <c r="H37" s="83">
        <v>1</v>
      </c>
      <c r="I37" s="83">
        <v>1</v>
      </c>
      <c r="J37" s="83">
        <v>1</v>
      </c>
      <c r="K37" s="19">
        <f>K35+ROUND(C37/100*E37*G37*H37*I37*J37,2)</f>
        <v>11030.75</v>
      </c>
    </row>
    <row r="38" spans="1:11" ht="26" x14ac:dyDescent="0.45">
      <c r="A38" s="101">
        <v>13</v>
      </c>
      <c r="B38" s="17" t="s">
        <v>115</v>
      </c>
      <c r="C38" s="82">
        <v>8</v>
      </c>
      <c r="D38" s="18" t="s">
        <v>33</v>
      </c>
      <c r="E38" s="39">
        <f>$K$24</f>
        <v>50599.8</v>
      </c>
      <c r="F38" s="20" t="s">
        <v>116</v>
      </c>
      <c r="G38" s="18">
        <v>1</v>
      </c>
      <c r="H38" s="83">
        <v>1</v>
      </c>
      <c r="I38" s="83">
        <v>1</v>
      </c>
      <c r="J38" s="83">
        <v>1</v>
      </c>
      <c r="K38" s="19">
        <f>K36+ROUND(C38/100*E38*G38*H38*I38*J38,2)</f>
        <v>24077.91</v>
      </c>
    </row>
    <row r="39" spans="1:11" ht="26" x14ac:dyDescent="0.45">
      <c r="A39" s="122">
        <v>14</v>
      </c>
      <c r="B39" s="117" t="s">
        <v>118</v>
      </c>
      <c r="C39" s="118">
        <v>10</v>
      </c>
      <c r="D39" s="119" t="s">
        <v>33</v>
      </c>
      <c r="E39" s="123">
        <f>$K$24</f>
        <v>50599.8</v>
      </c>
      <c r="F39" s="20" t="s">
        <v>119</v>
      </c>
      <c r="G39" s="119">
        <v>1</v>
      </c>
      <c r="H39" s="124">
        <v>1</v>
      </c>
      <c r="I39" s="124">
        <v>1</v>
      </c>
      <c r="J39" s="124">
        <v>1</v>
      </c>
      <c r="K39" s="120">
        <f>K37+ROUND(C39/100*E39*G39*H39*I39*J39,2)</f>
        <v>16090.73</v>
      </c>
    </row>
    <row r="40" spans="1:11" x14ac:dyDescent="0.45">
      <c r="A40" s="102"/>
      <c r="B40" s="103" t="s">
        <v>18</v>
      </c>
      <c r="C40" s="103"/>
      <c r="D40" s="18" t="s">
        <v>15</v>
      </c>
      <c r="E40" s="18" t="s">
        <v>15</v>
      </c>
      <c r="F40" s="18" t="s">
        <v>15</v>
      </c>
      <c r="G40" s="18" t="s">
        <v>15</v>
      </c>
      <c r="H40" s="18" t="s">
        <v>15</v>
      </c>
      <c r="I40" s="18" t="s">
        <v>15</v>
      </c>
      <c r="J40" s="18" t="s">
        <v>15</v>
      </c>
      <c r="K40" s="46">
        <f>ROUND(SUM(K35:K39),2)</f>
        <v>75656.800000000003</v>
      </c>
    </row>
    <row r="41" spans="1:11" x14ac:dyDescent="0.45">
      <c r="A41" s="102"/>
      <c r="B41" s="103" t="s">
        <v>32</v>
      </c>
      <c r="C41" s="103"/>
      <c r="D41" s="18" t="s">
        <v>15</v>
      </c>
      <c r="E41" s="18" t="s">
        <v>15</v>
      </c>
      <c r="F41" s="38" t="s">
        <v>15</v>
      </c>
      <c r="G41" s="18" t="s">
        <v>15</v>
      </c>
      <c r="H41" s="18" t="s">
        <v>15</v>
      </c>
      <c r="I41" s="18" t="s">
        <v>15</v>
      </c>
      <c r="J41" s="18" t="s">
        <v>15</v>
      </c>
      <c r="K41" s="46">
        <f>ROUND(K24+K31+K40,2)</f>
        <v>147475.69</v>
      </c>
    </row>
    <row r="42" spans="1:11" ht="65" x14ac:dyDescent="0.45">
      <c r="A42" s="102"/>
      <c r="B42" s="104" t="s">
        <v>39</v>
      </c>
      <c r="C42" s="104"/>
      <c r="D42" s="30" t="s">
        <v>15</v>
      </c>
      <c r="E42" s="30" t="s">
        <v>15</v>
      </c>
      <c r="F42" s="109" t="s">
        <v>117</v>
      </c>
      <c r="G42" s="30" t="s">
        <v>15</v>
      </c>
      <c r="H42" s="31">
        <v>6.7</v>
      </c>
      <c r="I42" s="30" t="s">
        <v>15</v>
      </c>
      <c r="J42" s="30" t="s">
        <v>15</v>
      </c>
      <c r="K42" s="45">
        <f>ROUND(H42*K41,2)</f>
        <v>988087.12</v>
      </c>
    </row>
    <row r="43" spans="1:11" x14ac:dyDescent="0.45">
      <c r="A43" s="32"/>
      <c r="B43" s="33"/>
      <c r="C43" s="33"/>
      <c r="D43" s="34"/>
      <c r="E43" s="35"/>
      <c r="F43" s="36"/>
      <c r="G43" s="34"/>
      <c r="H43" s="34"/>
      <c r="I43" s="34"/>
      <c r="J43" s="34"/>
      <c r="K43" s="37"/>
    </row>
    <row r="44" spans="1:11" x14ac:dyDescent="0.45">
      <c r="A44" s="21"/>
      <c r="B44" s="40"/>
      <c r="C44" s="40"/>
      <c r="D44" s="126"/>
      <c r="E44" s="126"/>
      <c r="F44" s="22" t="s">
        <v>76</v>
      </c>
      <c r="G44" s="23"/>
      <c r="H44" s="23"/>
      <c r="I44" s="23"/>
      <c r="J44" s="23"/>
      <c r="K44" s="24"/>
    </row>
    <row r="45" spans="1:11" x14ac:dyDescent="0.45">
      <c r="B45" s="40"/>
      <c r="C45" s="40"/>
      <c r="D45" s="125"/>
      <c r="E45" s="125"/>
    </row>
    <row r="46" spans="1:11" ht="29.25" customHeight="1" x14ac:dyDescent="0.45">
      <c r="B46" s="40"/>
      <c r="C46" s="40"/>
      <c r="D46" s="125"/>
      <c r="E46" s="125"/>
      <c r="F46" s="22" t="s">
        <v>77</v>
      </c>
    </row>
    <row r="47" spans="1:11" ht="56.25" customHeight="1" x14ac:dyDescent="0.45">
      <c r="B47" s="126"/>
      <c r="C47" s="126"/>
      <c r="D47" s="126"/>
      <c r="E47" s="126"/>
      <c r="F47" s="126"/>
      <c r="G47" s="126"/>
      <c r="H47" s="126"/>
      <c r="I47" s="126"/>
      <c r="J47" s="126"/>
      <c r="K47" s="126"/>
    </row>
    <row r="48" spans="1:11" ht="28.5" customHeight="1" x14ac:dyDescent="0.45">
      <c r="B48" s="41"/>
      <c r="C48" s="41"/>
      <c r="D48" s="125"/>
      <c r="E48" s="125"/>
    </row>
    <row r="49" spans="2:5" ht="30" customHeight="1" x14ac:dyDescent="0.45">
      <c r="B49" s="40"/>
      <c r="C49" s="40"/>
      <c r="D49" s="125"/>
      <c r="E49" s="125"/>
    </row>
  </sheetData>
  <mergeCells count="31">
    <mergeCell ref="A9:C9"/>
    <mergeCell ref="D9:K9"/>
    <mergeCell ref="A11:C11"/>
    <mergeCell ref="D11:K11"/>
    <mergeCell ref="A13:C13"/>
    <mergeCell ref="D13:K13"/>
    <mergeCell ref="A2:K2"/>
    <mergeCell ref="A3:K3"/>
    <mergeCell ref="D5:H5"/>
    <mergeCell ref="A7:C7"/>
    <mergeCell ref="D7:K7"/>
    <mergeCell ref="G15:G16"/>
    <mergeCell ref="H15:J15"/>
    <mergeCell ref="K15:K16"/>
    <mergeCell ref="A18:K18"/>
    <mergeCell ref="B47:K47"/>
    <mergeCell ref="A25:K25"/>
    <mergeCell ref="A32:K32"/>
    <mergeCell ref="C33:D33"/>
    <mergeCell ref="G33:J33"/>
    <mergeCell ref="A15:A16"/>
    <mergeCell ref="B15:B16"/>
    <mergeCell ref="C15:C16"/>
    <mergeCell ref="D15:D16"/>
    <mergeCell ref="E15:E16"/>
    <mergeCell ref="F15:F16"/>
    <mergeCell ref="D48:E48"/>
    <mergeCell ref="D49:E49"/>
    <mergeCell ref="D44:E44"/>
    <mergeCell ref="D45:E45"/>
    <mergeCell ref="D46:E46"/>
  </mergeCells>
  <conditionalFormatting sqref="A20:A23">
    <cfRule type="expression" dxfId="3" priority="9" stopIfTrue="1">
      <formula>IF(#REF!="К",8,)</formula>
    </cfRule>
  </conditionalFormatting>
  <conditionalFormatting sqref="A26:A30">
    <cfRule type="expression" dxfId="2" priority="8" stopIfTrue="1">
      <formula>IF(#REF!="К",8,)</formula>
    </cfRule>
  </conditionalFormatting>
  <conditionalFormatting sqref="A35:A38">
    <cfRule type="expression" dxfId="1" priority="7" stopIfTrue="1">
      <formula>IF(#REF!="К",8,)</formula>
    </cfRule>
  </conditionalFormatting>
  <conditionalFormatting sqref="A39">
    <cfRule type="expression" dxfId="0" priority="1" stopIfTrue="1">
      <formula>IF(#REF!="К",8,)</formula>
    </cfRule>
  </conditionalFormatting>
  <pageMargins left="0.7" right="0.7" top="0.75" bottom="0.75" header="0.3" footer="0.3"/>
  <pageSetup paperSize="9" scale="57" orientation="portrait" horizontalDpi="300" r:id="rId1"/>
  <rowBreaks count="1" manualBreakCount="1">
    <brk id="46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view="pageBreakPreview" topLeftCell="A37" zoomScale="85" zoomScaleNormal="85" zoomScaleSheetLayoutView="85" workbookViewId="0">
      <selection activeCell="E25" sqref="E25"/>
    </sheetView>
  </sheetViews>
  <sheetFormatPr defaultColWidth="8.7109375" defaultRowHeight="18.5" x14ac:dyDescent="0.45"/>
  <cols>
    <col min="1" max="1" width="4.0703125" customWidth="1"/>
    <col min="2" max="2" width="26.42578125" customWidth="1"/>
    <col min="3" max="3" width="4.28515625" customWidth="1"/>
    <col min="4" max="4" width="14.0703125" style="97" customWidth="1"/>
    <col min="5" max="5" width="9.0703125" customWidth="1"/>
    <col min="6" max="6" width="22.5703125" customWidth="1"/>
    <col min="7" max="7" width="6.5703125" customWidth="1"/>
    <col min="8" max="8" width="4.0703125" customWidth="1"/>
    <col min="9" max="9" width="3.92578125" customWidth="1"/>
    <col min="10" max="10" width="3.78515625" customWidth="1"/>
  </cols>
  <sheetData>
    <row r="1" spans="1:11" x14ac:dyDescent="0.45">
      <c r="A1" s="1"/>
      <c r="B1" s="2"/>
      <c r="C1" s="2"/>
      <c r="D1" s="44"/>
      <c r="E1" s="3"/>
      <c r="F1" s="4"/>
      <c r="G1" s="3"/>
      <c r="H1" s="3"/>
      <c r="I1" s="3"/>
      <c r="J1" s="3"/>
      <c r="K1" s="4"/>
    </row>
    <row r="2" spans="1:11" x14ac:dyDescent="0.45">
      <c r="A2" s="146" t="s">
        <v>26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 x14ac:dyDescent="0.45">
      <c r="A3" s="146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ht="19" thickBot="1" x14ac:dyDescent="0.5">
      <c r="A4" s="5"/>
      <c r="B4" s="5"/>
      <c r="C4" s="5"/>
      <c r="D4" s="155" t="s">
        <v>102</v>
      </c>
      <c r="E4" s="155"/>
      <c r="F4" s="155"/>
      <c r="G4" s="155"/>
      <c r="H4" s="27"/>
      <c r="I4" s="27"/>
      <c r="J4" s="27"/>
      <c r="K4" s="5"/>
    </row>
    <row r="5" spans="1:11" x14ac:dyDescent="0.45">
      <c r="A5" s="6"/>
      <c r="B5" s="7"/>
      <c r="C5" s="7"/>
      <c r="D5" s="147" t="s">
        <v>1</v>
      </c>
      <c r="E5" s="147"/>
      <c r="F5" s="147"/>
      <c r="G5" s="147"/>
      <c r="H5" s="148"/>
      <c r="I5" s="28"/>
      <c r="J5" s="28"/>
      <c r="K5" s="8"/>
    </row>
    <row r="6" spans="1:11" x14ac:dyDescent="0.45">
      <c r="A6" s="3"/>
      <c r="B6" s="3"/>
      <c r="C6" s="3"/>
      <c r="D6" s="44"/>
      <c r="E6" s="3"/>
      <c r="F6" s="4"/>
      <c r="G6" s="3"/>
      <c r="H6" s="3"/>
      <c r="I6" s="3"/>
      <c r="J6" s="3"/>
      <c r="K6" s="4"/>
    </row>
    <row r="7" spans="1:11" ht="36" customHeight="1" thickBot="1" x14ac:dyDescent="0.5">
      <c r="A7" s="149" t="s">
        <v>2</v>
      </c>
      <c r="B7" s="149"/>
      <c r="C7" s="149"/>
      <c r="D7" s="150" t="s">
        <v>101</v>
      </c>
      <c r="E7" s="150"/>
      <c r="F7" s="150"/>
      <c r="G7" s="150"/>
      <c r="H7" s="150"/>
      <c r="I7" s="150"/>
      <c r="J7" s="150"/>
      <c r="K7" s="150"/>
    </row>
    <row r="8" spans="1:11" x14ac:dyDescent="0.45">
      <c r="A8" s="3"/>
      <c r="B8" s="3"/>
      <c r="C8" s="3"/>
      <c r="D8" s="44"/>
      <c r="E8" s="3"/>
      <c r="F8" s="4"/>
      <c r="G8" s="3"/>
      <c r="H8" s="3"/>
      <c r="I8" s="3"/>
      <c r="J8" s="3"/>
      <c r="K8" s="4"/>
    </row>
    <row r="9" spans="1:11" ht="19" thickBot="1" x14ac:dyDescent="0.5">
      <c r="A9" s="151" t="s">
        <v>3</v>
      </c>
      <c r="B9" s="151"/>
      <c r="C9" s="151"/>
      <c r="D9" s="152" t="s">
        <v>86</v>
      </c>
      <c r="E9" s="152"/>
      <c r="F9" s="152"/>
      <c r="G9" s="152"/>
      <c r="H9" s="152"/>
      <c r="I9" s="152"/>
      <c r="J9" s="152"/>
      <c r="K9" s="152"/>
    </row>
    <row r="10" spans="1:11" x14ac:dyDescent="0.45">
      <c r="A10" s="3"/>
      <c r="B10" s="3"/>
      <c r="C10" s="3"/>
      <c r="D10" s="44"/>
      <c r="E10" s="26"/>
      <c r="F10" s="4"/>
      <c r="G10" s="3"/>
      <c r="H10" s="3"/>
      <c r="I10" s="3"/>
      <c r="J10" s="3"/>
      <c r="K10" s="4"/>
    </row>
    <row r="11" spans="1:11" ht="19" thickBot="1" x14ac:dyDescent="0.5">
      <c r="A11" s="151" t="s">
        <v>4</v>
      </c>
      <c r="B11" s="151"/>
      <c r="C11" s="151"/>
      <c r="D11" s="152" t="s">
        <v>87</v>
      </c>
      <c r="E11" s="152"/>
      <c r="F11" s="152"/>
      <c r="G11" s="152"/>
      <c r="H11" s="152"/>
      <c r="I11" s="152"/>
      <c r="J11" s="152"/>
      <c r="K11" s="152"/>
    </row>
    <row r="12" spans="1:11" x14ac:dyDescent="0.45">
      <c r="A12" s="44"/>
      <c r="B12" s="44"/>
      <c r="C12" s="44"/>
      <c r="D12" s="96"/>
      <c r="E12" s="63"/>
      <c r="F12" s="63"/>
      <c r="G12" s="63"/>
      <c r="H12" s="63"/>
      <c r="I12" s="63"/>
      <c r="J12" s="63"/>
      <c r="K12" s="63"/>
    </row>
    <row r="13" spans="1:11" x14ac:dyDescent="0.45">
      <c r="A13" s="3"/>
      <c r="B13" s="3"/>
      <c r="C13" s="3"/>
      <c r="D13" s="44"/>
      <c r="E13" s="3"/>
      <c r="F13" s="4"/>
      <c r="G13" s="3"/>
      <c r="H13" s="3"/>
      <c r="I13" s="3"/>
      <c r="J13" s="3"/>
      <c r="K13" s="4"/>
    </row>
    <row r="14" spans="1:11" ht="18.75" customHeight="1" thickBot="1" x14ac:dyDescent="0.5">
      <c r="A14" s="156" t="s">
        <v>5</v>
      </c>
      <c r="B14" s="156"/>
      <c r="C14" s="43"/>
      <c r="D14" s="153" t="s">
        <v>52</v>
      </c>
      <c r="E14" s="153"/>
      <c r="F14" s="153"/>
      <c r="G14" s="153"/>
      <c r="H14" s="153"/>
      <c r="I14" s="153"/>
      <c r="J14" s="153"/>
      <c r="K14" s="153"/>
    </row>
    <row r="15" spans="1:11" ht="18.75" customHeight="1" x14ac:dyDescent="0.45">
      <c r="A15" s="174" t="s">
        <v>6</v>
      </c>
      <c r="B15" s="176" t="s">
        <v>7</v>
      </c>
      <c r="C15" s="176" t="s">
        <v>41</v>
      </c>
      <c r="D15" s="176" t="s">
        <v>8</v>
      </c>
      <c r="E15" s="177" t="s">
        <v>9</v>
      </c>
      <c r="F15" s="176" t="s">
        <v>25</v>
      </c>
      <c r="G15" s="168" t="s">
        <v>22</v>
      </c>
      <c r="H15" s="165" t="s">
        <v>10</v>
      </c>
      <c r="I15" s="166"/>
      <c r="J15" s="166"/>
      <c r="K15" s="169" t="s">
        <v>40</v>
      </c>
    </row>
    <row r="16" spans="1:11" x14ac:dyDescent="0.45">
      <c r="A16" s="175"/>
      <c r="B16" s="142"/>
      <c r="C16" s="142"/>
      <c r="D16" s="142"/>
      <c r="E16" s="145"/>
      <c r="F16" s="142"/>
      <c r="G16" s="128"/>
      <c r="H16" s="25" t="s">
        <v>11</v>
      </c>
      <c r="I16" s="25" t="s">
        <v>12</v>
      </c>
      <c r="J16" s="25" t="s">
        <v>13</v>
      </c>
      <c r="K16" s="170"/>
    </row>
    <row r="17" spans="1:11" ht="19" thickBot="1" x14ac:dyDescent="0.5">
      <c r="A17" s="14">
        <v>1</v>
      </c>
      <c r="B17" s="15">
        <v>2</v>
      </c>
      <c r="C17" s="15">
        <v>3</v>
      </c>
      <c r="D17" s="15">
        <v>4</v>
      </c>
      <c r="E17" s="15">
        <v>5</v>
      </c>
      <c r="F17" s="15">
        <v>6</v>
      </c>
      <c r="G17" s="15">
        <v>7</v>
      </c>
      <c r="H17" s="15">
        <v>8</v>
      </c>
      <c r="I17" s="15">
        <v>9</v>
      </c>
      <c r="J17" s="15">
        <v>10</v>
      </c>
      <c r="K17" s="16">
        <v>11</v>
      </c>
    </row>
    <row r="18" spans="1:11" ht="13.5" customHeight="1" x14ac:dyDescent="0.45">
      <c r="A18" s="131" t="s">
        <v>14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3"/>
    </row>
    <row r="19" spans="1:11" ht="136.5" customHeight="1" x14ac:dyDescent="0.45">
      <c r="A19" s="67">
        <v>1</v>
      </c>
      <c r="B19" s="66" t="s">
        <v>89</v>
      </c>
      <c r="C19" s="29">
        <v>2</v>
      </c>
      <c r="D19" s="29" t="s">
        <v>55</v>
      </c>
      <c r="E19" s="29"/>
      <c r="F19" s="29" t="s">
        <v>90</v>
      </c>
      <c r="G19" s="29">
        <v>9</v>
      </c>
      <c r="H19" s="68">
        <v>1.1499999999999999</v>
      </c>
      <c r="I19" s="68">
        <f>1.1*1.1*1.1</f>
        <v>1.3310000000000004</v>
      </c>
      <c r="J19" s="80">
        <v>1.8</v>
      </c>
      <c r="K19" s="48">
        <f>ROUND(E19*G19*H19*I19*J19,2)</f>
        <v>0</v>
      </c>
    </row>
    <row r="20" spans="1:11" ht="81" customHeight="1" x14ac:dyDescent="0.45">
      <c r="A20" s="67">
        <v>2</v>
      </c>
      <c r="B20" s="66" t="s">
        <v>103</v>
      </c>
      <c r="C20" s="53">
        <v>2</v>
      </c>
      <c r="D20" s="47" t="s">
        <v>53</v>
      </c>
      <c r="E20" s="64"/>
      <c r="F20" s="29" t="s">
        <v>91</v>
      </c>
      <c r="G20" s="65">
        <v>15</v>
      </c>
      <c r="H20" s="80">
        <v>1.1499999999999999</v>
      </c>
      <c r="I20" s="80">
        <f>1.1*1.1*1.1</f>
        <v>1.3310000000000004</v>
      </c>
      <c r="J20" s="80">
        <v>1.8</v>
      </c>
      <c r="K20" s="48">
        <f t="shared" ref="K20:K21" si="0">ROUND(E20*G20*H20*I20*J20,2)</f>
        <v>0</v>
      </c>
    </row>
    <row r="21" spans="1:11" ht="100.5" hidden="1" customHeight="1" x14ac:dyDescent="0.45">
      <c r="A21" s="67">
        <v>3</v>
      </c>
      <c r="B21" s="66" t="s">
        <v>68</v>
      </c>
      <c r="C21" s="29"/>
      <c r="D21" s="29" t="s">
        <v>53</v>
      </c>
      <c r="E21" s="29">
        <v>0</v>
      </c>
      <c r="F21" s="47" t="s">
        <v>79</v>
      </c>
      <c r="G21" s="29"/>
      <c r="H21" s="80">
        <v>1</v>
      </c>
      <c r="I21" s="80">
        <v>1</v>
      </c>
      <c r="J21" s="80">
        <v>1</v>
      </c>
      <c r="K21" s="48">
        <f t="shared" si="0"/>
        <v>0</v>
      </c>
    </row>
    <row r="22" spans="1:11" ht="16.5" customHeight="1" x14ac:dyDescent="0.45">
      <c r="A22" s="47"/>
      <c r="B22" s="157" t="s">
        <v>44</v>
      </c>
      <c r="C22" s="158"/>
      <c r="D22" s="158"/>
      <c r="E22" s="158"/>
      <c r="F22" s="158"/>
      <c r="G22" s="158"/>
      <c r="H22" s="158"/>
      <c r="I22" s="158"/>
      <c r="J22" s="158"/>
      <c r="K22" s="49">
        <f>ROUND(SUM(K19:K21),2)</f>
        <v>0</v>
      </c>
    </row>
    <row r="23" spans="1:11" x14ac:dyDescent="0.45">
      <c r="A23" s="162" t="s">
        <v>37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4"/>
    </row>
    <row r="24" spans="1:11" ht="77.25" customHeight="1" x14ac:dyDescent="0.45">
      <c r="A24" s="29">
        <v>3</v>
      </c>
      <c r="B24" s="66" t="s">
        <v>62</v>
      </c>
      <c r="C24" s="72" t="s">
        <v>43</v>
      </c>
      <c r="D24" s="47" t="s">
        <v>55</v>
      </c>
      <c r="E24" s="73">
        <f>K19</f>
        <v>0</v>
      </c>
      <c r="F24" s="52" t="s">
        <v>80</v>
      </c>
      <c r="G24" s="88">
        <v>0.3</v>
      </c>
      <c r="H24" s="80">
        <v>1</v>
      </c>
      <c r="I24" s="80">
        <v>1</v>
      </c>
      <c r="J24" s="80">
        <v>1</v>
      </c>
      <c r="K24" s="29">
        <f>ROUND(E24*G24*H24*I24*J24,2)</f>
        <v>0</v>
      </c>
    </row>
    <row r="25" spans="1:11" ht="51.75" customHeight="1" x14ac:dyDescent="0.45">
      <c r="A25" s="29">
        <v>4</v>
      </c>
      <c r="B25" s="66" t="s">
        <v>59</v>
      </c>
      <c r="C25" s="72" t="s">
        <v>43</v>
      </c>
      <c r="D25" s="47" t="s">
        <v>60</v>
      </c>
      <c r="E25" s="73">
        <v>12</v>
      </c>
      <c r="F25" s="52" t="s">
        <v>81</v>
      </c>
      <c r="G25" s="69">
        <v>0.27</v>
      </c>
      <c r="H25" s="80">
        <v>1</v>
      </c>
      <c r="I25" s="80">
        <v>1</v>
      </c>
      <c r="J25" s="80">
        <v>1</v>
      </c>
      <c r="K25" s="29">
        <f t="shared" ref="K25:K29" si="1">ROUND(E25*G25*H25*I25*J25,2)</f>
        <v>3.24</v>
      </c>
    </row>
    <row r="26" spans="1:11" ht="51.75" hidden="1" customHeight="1" x14ac:dyDescent="0.45">
      <c r="A26" s="29">
        <v>6</v>
      </c>
      <c r="B26" s="66" t="s">
        <v>57</v>
      </c>
      <c r="C26" s="72" t="s">
        <v>15</v>
      </c>
      <c r="D26" s="47" t="s">
        <v>58</v>
      </c>
      <c r="E26" s="73">
        <v>1</v>
      </c>
      <c r="F26" s="52" t="s">
        <v>82</v>
      </c>
      <c r="G26" s="69"/>
      <c r="H26" s="80">
        <v>1</v>
      </c>
      <c r="I26" s="80">
        <v>1</v>
      </c>
      <c r="J26" s="80">
        <v>1</v>
      </c>
      <c r="K26" s="29">
        <f t="shared" si="1"/>
        <v>0</v>
      </c>
    </row>
    <row r="27" spans="1:11" ht="39" x14ac:dyDescent="0.45">
      <c r="A27" s="29">
        <v>5</v>
      </c>
      <c r="B27" s="55" t="s">
        <v>54</v>
      </c>
      <c r="C27" s="47" t="s">
        <v>15</v>
      </c>
      <c r="D27" s="47" t="s">
        <v>47</v>
      </c>
      <c r="E27" s="74">
        <v>1</v>
      </c>
      <c r="F27" s="52" t="s">
        <v>83</v>
      </c>
      <c r="G27" s="56">
        <v>600</v>
      </c>
      <c r="H27" s="80">
        <v>1</v>
      </c>
      <c r="I27" s="80">
        <v>1</v>
      </c>
      <c r="J27" s="80">
        <v>1</v>
      </c>
      <c r="K27" s="29">
        <f t="shared" si="1"/>
        <v>600</v>
      </c>
    </row>
    <row r="28" spans="1:11" ht="96.75" customHeight="1" x14ac:dyDescent="0.45">
      <c r="A28" s="29">
        <v>6</v>
      </c>
      <c r="B28" s="57" t="s">
        <v>48</v>
      </c>
      <c r="C28" s="52" t="s">
        <v>15</v>
      </c>
      <c r="D28" s="52" t="s">
        <v>45</v>
      </c>
      <c r="E28" s="71">
        <v>1</v>
      </c>
      <c r="F28" s="52" t="s">
        <v>84</v>
      </c>
      <c r="G28" s="58">
        <f>1000+K30*0.1</f>
        <v>1000.324</v>
      </c>
      <c r="H28" s="68">
        <v>1.2</v>
      </c>
      <c r="I28" s="80">
        <v>1</v>
      </c>
      <c r="J28" s="80">
        <v>1</v>
      </c>
      <c r="K28" s="29">
        <f>ROUND(E28*G28*H28*I28*J28,2)</f>
        <v>1200.3900000000001</v>
      </c>
    </row>
    <row r="29" spans="1:11" hidden="1" x14ac:dyDescent="0.45">
      <c r="A29" s="29">
        <v>9</v>
      </c>
      <c r="B29" s="50" t="s">
        <v>49</v>
      </c>
      <c r="C29" s="51" t="s">
        <v>15</v>
      </c>
      <c r="D29" s="52" t="s">
        <v>45</v>
      </c>
      <c r="E29" s="71">
        <v>0</v>
      </c>
      <c r="F29" s="59" t="s">
        <v>50</v>
      </c>
      <c r="G29" s="70">
        <v>0.1</v>
      </c>
      <c r="H29" s="80">
        <v>1</v>
      </c>
      <c r="I29" s="80">
        <v>1</v>
      </c>
      <c r="J29" s="80">
        <v>1</v>
      </c>
      <c r="K29" s="29">
        <f t="shared" si="1"/>
        <v>0</v>
      </c>
    </row>
    <row r="30" spans="1:11" x14ac:dyDescent="0.45">
      <c r="A30" s="29"/>
      <c r="B30" s="159" t="s">
        <v>56</v>
      </c>
      <c r="C30" s="160"/>
      <c r="D30" s="160"/>
      <c r="E30" s="160"/>
      <c r="F30" s="160"/>
      <c r="G30" s="160"/>
      <c r="H30" s="160"/>
      <c r="I30" s="160"/>
      <c r="J30" s="161"/>
      <c r="K30" s="49">
        <f>ROUND(SUM(K24:K26),2)</f>
        <v>3.24</v>
      </c>
    </row>
    <row r="31" spans="1:11" x14ac:dyDescent="0.45">
      <c r="A31" s="29"/>
      <c r="B31" s="159" t="s">
        <v>19</v>
      </c>
      <c r="C31" s="160"/>
      <c r="D31" s="160"/>
      <c r="E31" s="160"/>
      <c r="F31" s="160"/>
      <c r="G31" s="160"/>
      <c r="H31" s="160"/>
      <c r="I31" s="160"/>
      <c r="J31" s="161"/>
      <c r="K31" s="49">
        <f>ROUND(SUM(K27:K30),2)</f>
        <v>1803.63</v>
      </c>
    </row>
    <row r="32" spans="1:11" x14ac:dyDescent="0.45">
      <c r="A32" s="171" t="s">
        <v>34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3"/>
    </row>
    <row r="33" spans="1:11" ht="52" x14ac:dyDescent="0.45">
      <c r="A33" s="29">
        <v>7</v>
      </c>
      <c r="B33" s="89" t="s">
        <v>92</v>
      </c>
      <c r="C33" s="51" t="s">
        <v>15</v>
      </c>
      <c r="E33" s="95">
        <f>K22</f>
        <v>0</v>
      </c>
      <c r="F33" s="91" t="s">
        <v>30</v>
      </c>
      <c r="G33" s="29"/>
      <c r="H33" s="59">
        <v>0.3</v>
      </c>
      <c r="I33" s="80">
        <v>1</v>
      </c>
      <c r="J33" s="80">
        <v>1</v>
      </c>
      <c r="K33" s="29">
        <f>E33*H33</f>
        <v>0</v>
      </c>
    </row>
    <row r="34" spans="1:11" ht="65" x14ac:dyDescent="0.45">
      <c r="A34" s="29">
        <v>8</v>
      </c>
      <c r="B34" s="89" t="s">
        <v>93</v>
      </c>
      <c r="C34" s="51" t="s">
        <v>15</v>
      </c>
      <c r="D34" s="92" t="s">
        <v>27</v>
      </c>
      <c r="E34" s="90">
        <f>K33+K22</f>
        <v>0</v>
      </c>
      <c r="F34" s="93" t="s">
        <v>94</v>
      </c>
      <c r="G34" s="94">
        <v>0.09</v>
      </c>
      <c r="H34" s="80">
        <v>1</v>
      </c>
      <c r="I34" s="80">
        <v>1</v>
      </c>
      <c r="J34" s="80">
        <v>1</v>
      </c>
      <c r="K34" s="99">
        <f>E34*G34</f>
        <v>0</v>
      </c>
    </row>
    <row r="35" spans="1:11" ht="65" x14ac:dyDescent="0.45">
      <c r="A35" s="29">
        <v>9</v>
      </c>
      <c r="B35" s="89" t="s">
        <v>95</v>
      </c>
      <c r="C35" s="51" t="s">
        <v>15</v>
      </c>
      <c r="D35" s="92" t="s">
        <v>28</v>
      </c>
      <c r="E35" s="90">
        <f>E34+K33</f>
        <v>0</v>
      </c>
      <c r="F35" s="93" t="s">
        <v>96</v>
      </c>
      <c r="G35" s="94">
        <v>0.3</v>
      </c>
      <c r="H35" s="80">
        <v>1</v>
      </c>
      <c r="I35" s="80">
        <v>1</v>
      </c>
      <c r="J35" s="80">
        <v>1</v>
      </c>
      <c r="K35" s="29">
        <f>E35*H35*G35</f>
        <v>0</v>
      </c>
    </row>
    <row r="36" spans="1:11" ht="65" x14ac:dyDescent="0.45">
      <c r="A36" s="29"/>
      <c r="B36" s="89" t="s">
        <v>97</v>
      </c>
      <c r="C36" s="51"/>
      <c r="D36" s="92" t="s">
        <v>29</v>
      </c>
      <c r="E36" s="90">
        <f>E35+K35</f>
        <v>0</v>
      </c>
      <c r="F36" s="93" t="s">
        <v>98</v>
      </c>
      <c r="G36" s="94">
        <v>0.06</v>
      </c>
      <c r="H36" s="80"/>
      <c r="I36" s="80"/>
      <c r="J36" s="80"/>
      <c r="K36" s="29">
        <f>E36*G36</f>
        <v>0</v>
      </c>
    </row>
    <row r="37" spans="1:11" ht="65" x14ac:dyDescent="0.45">
      <c r="A37" s="29">
        <v>10</v>
      </c>
      <c r="B37" s="89" t="s">
        <v>99</v>
      </c>
      <c r="C37" s="51" t="s">
        <v>15</v>
      </c>
      <c r="D37" s="92" t="s">
        <v>29</v>
      </c>
      <c r="E37" s="90">
        <f>E36</f>
        <v>0</v>
      </c>
      <c r="F37" s="93" t="s">
        <v>98</v>
      </c>
      <c r="G37" s="94">
        <v>0.05</v>
      </c>
      <c r="H37" s="80">
        <v>1</v>
      </c>
      <c r="I37" s="80">
        <v>1</v>
      </c>
      <c r="J37" s="80">
        <v>1</v>
      </c>
      <c r="K37" s="29">
        <f>E37*H37*G37</f>
        <v>0</v>
      </c>
    </row>
    <row r="38" spans="1:11" ht="39" x14ac:dyDescent="0.45">
      <c r="A38" s="29">
        <v>11</v>
      </c>
      <c r="B38" s="89" t="s">
        <v>100</v>
      </c>
      <c r="C38" s="51" t="s">
        <v>15</v>
      </c>
      <c r="D38" s="52" t="s">
        <v>33</v>
      </c>
      <c r="E38" s="54">
        <f>E35+K35+K36</f>
        <v>0</v>
      </c>
      <c r="F38" s="52" t="s">
        <v>61</v>
      </c>
      <c r="G38" s="75"/>
      <c r="H38" s="80">
        <v>0.15</v>
      </c>
      <c r="I38" s="80">
        <v>1</v>
      </c>
      <c r="J38" s="80">
        <v>1</v>
      </c>
      <c r="K38" s="29">
        <f t="shared" ref="K38" si="2">E38*H38</f>
        <v>0</v>
      </c>
    </row>
    <row r="39" spans="1:11" x14ac:dyDescent="0.45">
      <c r="A39" s="47"/>
      <c r="B39" s="167" t="s">
        <v>46</v>
      </c>
      <c r="C39" s="167"/>
      <c r="D39" s="167"/>
      <c r="E39" s="167"/>
      <c r="F39" s="167"/>
      <c r="G39" s="167"/>
      <c r="H39" s="167"/>
      <c r="I39" s="167"/>
      <c r="J39" s="167"/>
      <c r="K39" s="49">
        <f>ROUND(SUM(K33:K38),2)</f>
        <v>0</v>
      </c>
    </row>
    <row r="40" spans="1:11" x14ac:dyDescent="0.45">
      <c r="A40" s="47"/>
      <c r="B40" s="178" t="s">
        <v>85</v>
      </c>
      <c r="C40" s="179"/>
      <c r="D40" s="179"/>
      <c r="E40" s="179"/>
      <c r="F40" s="179"/>
      <c r="G40" s="179"/>
      <c r="H40" s="179"/>
      <c r="I40" s="179"/>
      <c r="J40" s="180"/>
      <c r="K40" s="49">
        <f>ROUND(K22+K39+K31,2)</f>
        <v>1803.63</v>
      </c>
    </row>
    <row r="41" spans="1:11" ht="26" x14ac:dyDescent="0.45">
      <c r="A41" s="47"/>
      <c r="B41" s="85" t="s">
        <v>32</v>
      </c>
      <c r="C41" s="86"/>
      <c r="D41" s="98"/>
      <c r="E41" s="86"/>
      <c r="F41" s="52" t="s">
        <v>63</v>
      </c>
      <c r="G41" s="86"/>
      <c r="H41" s="79">
        <v>11.37</v>
      </c>
      <c r="I41" s="86"/>
      <c r="J41" s="87"/>
      <c r="K41" s="49">
        <f>K40*H41</f>
        <v>20507.273099999999</v>
      </c>
    </row>
    <row r="42" spans="1:11" ht="65" x14ac:dyDescent="0.45">
      <c r="A42" s="29"/>
      <c r="B42" s="77" t="s">
        <v>51</v>
      </c>
      <c r="C42" s="51" t="s">
        <v>15</v>
      </c>
      <c r="D42" s="52" t="s">
        <v>33</v>
      </c>
      <c r="E42" s="76">
        <f>K22+K31+K40</f>
        <v>3607.26</v>
      </c>
      <c r="F42" s="52" t="s">
        <v>70</v>
      </c>
      <c r="G42" s="78">
        <v>0.05</v>
      </c>
      <c r="H42" s="80">
        <v>1</v>
      </c>
      <c r="I42" s="80">
        <v>1</v>
      </c>
      <c r="J42" s="80">
        <v>1</v>
      </c>
      <c r="K42" s="49">
        <f t="shared" ref="K42" si="3">ROUND(E42*G42*H42*I42*J42,2)</f>
        <v>180.36</v>
      </c>
    </row>
    <row r="43" spans="1:11" ht="39" customHeight="1" x14ac:dyDescent="0.45">
      <c r="A43" s="47"/>
      <c r="B43" s="77" t="s">
        <v>67</v>
      </c>
      <c r="C43" s="51" t="s">
        <v>15</v>
      </c>
      <c r="D43" s="52" t="s">
        <v>33</v>
      </c>
      <c r="E43" s="76">
        <f>K31</f>
        <v>1803.63</v>
      </c>
      <c r="F43" s="52" t="s">
        <v>64</v>
      </c>
      <c r="G43" s="78">
        <v>0.08</v>
      </c>
      <c r="H43" s="80">
        <v>1</v>
      </c>
      <c r="I43" s="80">
        <v>1</v>
      </c>
      <c r="J43" s="80">
        <v>1</v>
      </c>
      <c r="K43" s="81">
        <f t="shared" ref="K43:K44" si="4">ROUND(E43*G43*H43*I43*J43,2)</f>
        <v>144.29</v>
      </c>
    </row>
    <row r="44" spans="1:11" ht="37.5" customHeight="1" x14ac:dyDescent="0.45">
      <c r="A44" s="47"/>
      <c r="B44" s="77" t="s">
        <v>66</v>
      </c>
      <c r="C44" s="51" t="s">
        <v>15</v>
      </c>
      <c r="D44" s="52" t="s">
        <v>33</v>
      </c>
      <c r="E44" s="76">
        <f>K22+K39</f>
        <v>0</v>
      </c>
      <c r="F44" s="52" t="s">
        <v>65</v>
      </c>
      <c r="G44" s="78">
        <v>0.15</v>
      </c>
      <c r="H44" s="80">
        <v>1</v>
      </c>
      <c r="I44" s="80">
        <v>1</v>
      </c>
      <c r="J44" s="80">
        <v>1</v>
      </c>
      <c r="K44" s="81">
        <f t="shared" si="4"/>
        <v>0</v>
      </c>
    </row>
    <row r="45" spans="1:11" ht="48" customHeight="1" x14ac:dyDescent="0.45">
      <c r="A45" s="29"/>
      <c r="B45" s="60" t="s">
        <v>39</v>
      </c>
      <c r="C45" s="52" t="s">
        <v>15</v>
      </c>
      <c r="D45" s="52" t="s">
        <v>15</v>
      </c>
      <c r="E45" s="61">
        <f>K40+K43+K44</f>
        <v>1947.92</v>
      </c>
      <c r="F45" s="52" t="s">
        <v>69</v>
      </c>
      <c r="G45" s="62" t="s">
        <v>15</v>
      </c>
      <c r="H45" s="79">
        <v>49.15</v>
      </c>
      <c r="I45" s="79">
        <v>0.8</v>
      </c>
      <c r="J45" s="62" t="s">
        <v>15</v>
      </c>
      <c r="K45" s="81">
        <f>ROUND(E45*H45,2)*I45</f>
        <v>76592.216</v>
      </c>
    </row>
    <row r="46" spans="1:11" x14ac:dyDescent="0.45">
      <c r="A46" s="32"/>
      <c r="B46" s="33"/>
      <c r="C46" s="33"/>
      <c r="D46" s="34"/>
      <c r="E46" s="35"/>
      <c r="F46" s="36"/>
      <c r="G46" s="34"/>
      <c r="H46" s="34"/>
      <c r="I46" s="34"/>
      <c r="J46" s="34"/>
      <c r="K46" s="37"/>
    </row>
    <row r="47" spans="1:11" x14ac:dyDescent="0.45">
      <c r="A47" s="21"/>
      <c r="B47" s="40"/>
      <c r="C47" s="40"/>
      <c r="D47" s="126"/>
      <c r="E47" s="126"/>
      <c r="F47" s="22" t="s">
        <v>76</v>
      </c>
      <c r="G47" s="23"/>
      <c r="H47" s="23"/>
      <c r="I47" s="23"/>
      <c r="J47" s="23"/>
      <c r="K47" s="24"/>
    </row>
    <row r="48" spans="1:11" x14ac:dyDescent="0.45">
      <c r="B48" s="40"/>
      <c r="C48" s="40"/>
      <c r="D48" s="125"/>
      <c r="E48" s="125"/>
    </row>
    <row r="49" spans="2:11" x14ac:dyDescent="0.45">
      <c r="B49" s="40"/>
      <c r="C49" s="40"/>
      <c r="D49" s="125"/>
      <c r="E49" s="125"/>
      <c r="F49" s="22" t="s">
        <v>77</v>
      </c>
    </row>
    <row r="50" spans="2:11" ht="47.25" customHeight="1" x14ac:dyDescent="0.45">
      <c r="B50" s="126" t="s">
        <v>78</v>
      </c>
      <c r="C50" s="126"/>
      <c r="D50" s="126"/>
      <c r="E50" s="126"/>
      <c r="F50" s="126"/>
      <c r="G50" s="126"/>
      <c r="H50" s="126"/>
      <c r="I50" s="126"/>
      <c r="J50" s="126"/>
      <c r="K50" s="126"/>
    </row>
  </sheetData>
  <mergeCells count="33">
    <mergeCell ref="D47:E47"/>
    <mergeCell ref="D48:E48"/>
    <mergeCell ref="D49:E49"/>
    <mergeCell ref="B50:K50"/>
    <mergeCell ref="B40:J40"/>
    <mergeCell ref="B22:J22"/>
    <mergeCell ref="B30:J30"/>
    <mergeCell ref="A23:K23"/>
    <mergeCell ref="H15:J15"/>
    <mergeCell ref="B39:J39"/>
    <mergeCell ref="B31:J31"/>
    <mergeCell ref="G15:G16"/>
    <mergeCell ref="K15:K16"/>
    <mergeCell ref="A18:K18"/>
    <mergeCell ref="A32:K32"/>
    <mergeCell ref="A15:A16"/>
    <mergeCell ref="B15:B16"/>
    <mergeCell ref="C15:C16"/>
    <mergeCell ref="D15:D16"/>
    <mergeCell ref="E15:E16"/>
    <mergeCell ref="F15:F16"/>
    <mergeCell ref="A9:C9"/>
    <mergeCell ref="D9:K9"/>
    <mergeCell ref="A11:C11"/>
    <mergeCell ref="D11:K11"/>
    <mergeCell ref="A14:B14"/>
    <mergeCell ref="D14:K14"/>
    <mergeCell ref="A2:K2"/>
    <mergeCell ref="A3:K3"/>
    <mergeCell ref="D4:G4"/>
    <mergeCell ref="D5:H5"/>
    <mergeCell ref="A7:C7"/>
    <mergeCell ref="D7:K7"/>
  </mergeCells>
  <pageMargins left="0.7" right="0.7" top="0.75" bottom="0.75" header="0.3" footer="0.3"/>
  <pageSetup paperSize="9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CB64B838FC8304498448B48E5F9CC34" ma:contentTypeVersion="2" ma:contentTypeDescription="Создание документа." ma:contentTypeScope="" ma:versionID="7481c22d1b8bee3a381719a328c1707f">
  <xsd:schema xmlns:xsd="http://www.w3.org/2001/XMLSchema" xmlns:xs="http://www.w3.org/2001/XMLSchema" xmlns:p="http://schemas.microsoft.com/office/2006/metadata/properties" xmlns:ns2="7532639d-57fc-49fd-84ba-dbf32f04bf8a" targetNamespace="http://schemas.microsoft.com/office/2006/metadata/properties" ma:root="true" ma:fieldsID="3d29d91f2ff50a899256079028f2427b" ns2:_="">
    <xsd:import namespace="7532639d-57fc-49fd-84ba-dbf32f04bf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2639d-57fc-49fd-84ba-dbf32f04b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532639d-57fc-49fd-84ba-dbf32f04bf8a">
      <UserInfo>
        <DisplayName>Куздобенко Виктория Александровна</DisplayName>
        <AccountId>5511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EB71CC8-873B-4AB0-97F3-2607C0512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7CDC8D-C2C9-4859-A633-4AD80D6C7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2639d-57fc-49fd-84ba-dbf32f04b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3BCB4-3800-477E-A2C2-FE82B3D77D72}">
  <ds:schemaRefs>
    <ds:schemaRef ds:uri="http://purl.org/dc/dcmitype/"/>
    <ds:schemaRef ds:uri="7532639d-57fc-49fd-84ba-dbf32f04bf8a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№1 ИГДИ</vt:lpstr>
      <vt:lpstr>№3 ИГФИ обр</vt:lpstr>
      <vt:lpstr>'№1 ИГДИ'!Print_Area</vt:lpstr>
      <vt:lpstr>'№3 ИГФИ обр'!Print_Area</vt:lpstr>
      <vt:lpstr>'№3 ИГФИ обр'!Поле</vt:lpstr>
      <vt:lpstr>полее</vt:lpstr>
      <vt:lpstr>'№3 ИГФИ обр'!Прочие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Кузиков Анатолий Анатольевич</dc:creator>
  <cp:lastModifiedBy>Ксения Кузнецова</cp:lastModifiedBy>
  <cp:lastPrinted>2024-08-16T05:37:20Z</cp:lastPrinted>
  <dcterms:created xsi:type="dcterms:W3CDTF">2020-10-21T14:54:31Z</dcterms:created>
  <dcterms:modified xsi:type="dcterms:W3CDTF">2026-02-04T05:11:30Z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0x010100CCB64B838FC8304498448B48E5F9CC34</vt:lpwstr>
  </property>
  <property fmtid="{D5CDD505-2E9C-101B-9397-08002B2CF9AE}" pid="3" name="_dlc_DocIdItemGuid">
    <vt:lpwstr>0a6eaa06-a8d2-4504-b3f1-ea4a727bbf5b</vt:lpwstr>
  </property>
</Properties>
</file>