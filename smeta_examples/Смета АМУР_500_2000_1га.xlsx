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seniya.kuznetsova\Desktop\Сметы_для\"/>
    </mc:Choice>
  </mc:AlternateContent>
  <bookViews>
    <workbookView xWindow="0" yWindow="0" windowWidth="28800" windowHeight="13130" tabRatio="919"/>
  </bookViews>
  <sheets>
    <sheet name="№1 ИГДИ" sheetId="3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AUTOEXEC">#REF!</definedName>
    <definedName name="\k">#REF!</definedName>
    <definedName name="\m">#REF!</definedName>
    <definedName name="\s">#REF!</definedName>
    <definedName name="\z">#REF!</definedName>
    <definedName name="__xlfn.BAHTTEXT" hidden="1">#NAME?</definedName>
    <definedName name="_xlnm._FilterDatabase" localSheetId="0" hidden="1">#REF!</definedName>
    <definedName name="_xlnm._FilterDatabase" hidden="1">#REF!</definedName>
    <definedName name="a">#REF!</definedName>
    <definedName name="asd">[1]топография!#REF!</definedName>
    <definedName name="dck">[2]топография!#REF!</definedName>
    <definedName name="ger">[1]топография!#REF!</definedName>
    <definedName name="Itog">#REF!</definedName>
    <definedName name="SM">#REF!</definedName>
    <definedName name="SM_SM">#REF!</definedName>
    <definedName name="SM_STO">#REF!</definedName>
    <definedName name="SM_STO1">#REF!</definedName>
    <definedName name="SM_STO2">#REF!</definedName>
    <definedName name="SM_STO3">#REF!</definedName>
    <definedName name="SM_STO4">#REF!</definedName>
    <definedName name="SUM_">#REF!</definedName>
    <definedName name="SUM_1">#REF!</definedName>
    <definedName name="SUM_3">#REF!</definedName>
    <definedName name="ZAK1">#REF!</definedName>
    <definedName name="ZAK2">#REF!</definedName>
    <definedName name="а">#REF!</definedName>
    <definedName name="а36">#REF!</definedName>
    <definedName name="в">#REF!</definedName>
    <definedName name="Всего_по_смете">#REF!</definedName>
    <definedName name="Вспомогательные_работы">#REF!</definedName>
    <definedName name="вукепр">#REF!</definedName>
    <definedName name="дбшл">[3]топография!#REF!</definedName>
    <definedName name="длор">#REF!</definedName>
    <definedName name="ДСК">[1]топография!#REF!</definedName>
    <definedName name="дьог">#REF!</definedName>
    <definedName name="ждл">[1]топография!#REF!</definedName>
    <definedName name="жщдбюд">#REF!</definedName>
    <definedName name="Зависимые">#REF!</definedName>
    <definedName name="Итого_по_разделу_V">#REF!</definedName>
    <definedName name="Итого_по_смете">#REF!</definedName>
    <definedName name="калплан">#REF!</definedName>
    <definedName name="Камеральных">#REF!</definedName>
    <definedName name="КП23" localSheetId="0" hidden="1">#REF!</definedName>
    <definedName name="КП23" hidden="1">#REF!</definedName>
    <definedName name="Курс_доллара">'[4]Курс доллара'!$A$2</definedName>
    <definedName name="л">#REF!</definedName>
    <definedName name="лгоь">#REF!</definedName>
    <definedName name="лор">[5]топография!#REF!</definedName>
    <definedName name="лорп">#REF!</definedName>
    <definedName name="льб">#REF!</definedName>
    <definedName name="льогнрт">#REF!</definedName>
    <definedName name="о">#REF!</definedName>
    <definedName name="_xlnm.Print_Area" localSheetId="0">'№1 ИГДИ'!$A$1:$K$48</definedName>
    <definedName name="п">#REF!</definedName>
    <definedName name="план">[1]топография!#REF!</definedName>
    <definedName name="Полевые">#REF!</definedName>
    <definedName name="полее">#REF!</definedName>
    <definedName name="про">#REF!</definedName>
    <definedName name="пробная">#REF!</definedName>
    <definedName name="Прочие_работы">#REF!</definedName>
    <definedName name="рол">#REF!</definedName>
    <definedName name="свод1">[3]топография!#REF!</definedName>
    <definedName name="Тип">[6]Лист2!$B$1:$B$4</definedName>
    <definedName name="ф">#REF!</definedName>
    <definedName name="ы">[3]топография!#REF!</definedName>
    <definedName name="ыф">#REF!</definedName>
    <definedName name="эхзжю">[1]топография!#REF!</definedName>
    <definedName name="ю">[3]топография!#REF!</definedName>
    <definedName name="юб">#REF!</definedName>
    <definedName name="я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35" l="1"/>
  <c r="K27" i="35"/>
  <c r="K25" i="35"/>
  <c r="K20" i="35"/>
  <c r="K19" i="35" l="1"/>
  <c r="K30" i="35" l="1"/>
  <c r="K29" i="35"/>
  <c r="K22" i="35"/>
  <c r="K21" i="35"/>
  <c r="K23" i="35" l="1"/>
  <c r="E36" i="35" s="1"/>
  <c r="K36" i="35" s="1"/>
  <c r="E38" i="35" s="1"/>
  <c r="K32" i="35"/>
  <c r="K31" i="35"/>
  <c r="K33" i="35" l="1"/>
  <c r="E37" i="35" s="1"/>
  <c r="K37" i="35" s="1"/>
  <c r="K38" i="35"/>
  <c r="E40" i="35" l="1"/>
  <c r="K40" i="35" s="1"/>
  <c r="E39" i="35"/>
  <c r="K39" i="35" s="1"/>
  <c r="K41" i="35" l="1"/>
  <c r="K42" i="35" s="1"/>
  <c r="K43" i="35" s="1"/>
  <c r="K44" i="35" s="1"/>
  <c r="K45" i="35" s="1"/>
</calcChain>
</file>

<file path=xl/sharedStrings.xml><?xml version="1.0" encoding="utf-8"?>
<sst xmlns="http://schemas.openxmlformats.org/spreadsheetml/2006/main" count="131" uniqueCount="79">
  <si>
    <t>на   изыскательские  работы</t>
  </si>
  <si>
    <t>(вид изыскательских работ)</t>
  </si>
  <si>
    <t>Наименование строительства и стадии проектирования:</t>
  </si>
  <si>
    <t>Наименование организации подрядчика:</t>
  </si>
  <si>
    <t>Наименование организации заказчика:</t>
  </si>
  <si>
    <t>Смета составлена по следующим документам:</t>
  </si>
  <si>
    <t>№
п/п</t>
  </si>
  <si>
    <t>Наименование работ и затрат</t>
  </si>
  <si>
    <t>Единица изме-рения</t>
  </si>
  <si>
    <t>Кол-во
(физ. объём)</t>
  </si>
  <si>
    <t>К1</t>
  </si>
  <si>
    <t>К2</t>
  </si>
  <si>
    <t>К3</t>
  </si>
  <si>
    <t>1. Полевые работы</t>
  </si>
  <si>
    <t>-</t>
  </si>
  <si>
    <t>Итого полевых работ:</t>
  </si>
  <si>
    <t>Удорожание полевых работ за счет сезонного коэффициента</t>
  </si>
  <si>
    <t>Расходы на организацию и ликвидацию полевых работ</t>
  </si>
  <si>
    <t>Итого прочих расходов:</t>
  </si>
  <si>
    <t>Итого камеральных работ:</t>
  </si>
  <si>
    <t>Инженерно-геодезические изыскания</t>
  </si>
  <si>
    <t>СБЦ на ИГДИ для строительства, 2004 г.</t>
  </si>
  <si>
    <t>Цена</t>
  </si>
  <si>
    <t>Расчёт стоимости /коэф-ты к цене</t>
  </si>
  <si>
    <t>СМЕТА № 1</t>
  </si>
  <si>
    <t>Обоснование стоимости (цена и коэф-ты)</t>
  </si>
  <si>
    <t>Выдача промежуточных материалов изысканий</t>
  </si>
  <si>
    <t>га</t>
  </si>
  <si>
    <t>Всего по смете в ценах СБЦ на 2001 г.</t>
  </si>
  <si>
    <t>%</t>
  </si>
  <si>
    <t>Стоимость проверки полноты планов в эксплуатирующих организациях</t>
  </si>
  <si>
    <t>т. 75, прим. 3</t>
  </si>
  <si>
    <t>2. Камеральные работы</t>
  </si>
  <si>
    <r>
      <t xml:space="preserve">3. Прочие расходы
</t>
    </r>
    <r>
      <rPr>
        <sz val="10"/>
        <rFont val="Times New Roman"/>
        <family val="1"/>
        <charset val="204"/>
      </rPr>
      <t>(применяются к полевым и выполняемым в экспедиционных условиях камеральным работам)</t>
    </r>
  </si>
  <si>
    <t>п. 15 а, ОУ</t>
  </si>
  <si>
    <t>Итого по смете, с учетом индекса  изменения сметной стоимости изыскательских работ</t>
  </si>
  <si>
    <t>пункт</t>
  </si>
  <si>
    <t>Катег. сл-ти</t>
  </si>
  <si>
    <t>Стоимость,
руб., коп. без НДС</t>
  </si>
  <si>
    <t>Процент</t>
  </si>
  <si>
    <t>Стоимость работ, без НДС</t>
  </si>
  <si>
    <t>Расчёт стоимости /
коэф-ты к цене</t>
  </si>
  <si>
    <t>Стоимость прочих расходов, без НДС</t>
  </si>
  <si>
    <t>п.13 ОУ</t>
  </si>
  <si>
    <t>Составил ______________________</t>
  </si>
  <si>
    <t>Утвердил_______________________</t>
  </si>
  <si>
    <t>служба</t>
  </si>
  <si>
    <t>т. 2, п. 2 ОУ</t>
  </si>
  <si>
    <t>ООО "ИТПИ"</t>
  </si>
  <si>
    <t>Итого по смете, с учетом договорного коэффициента</t>
  </si>
  <si>
    <t>Примечание к шаблону: 
1. При отсутствии необходимости применения коэффициента (=1.0), данному значению следует присвоить цвет шрифта "белый", для исключения его отображения при печати.</t>
  </si>
  <si>
    <t>II кат.</t>
  </si>
  <si>
    <t xml:space="preserve">Создание плановой опорной геодезической сети с использованием спутниковых систем 2 разряда  </t>
  </si>
  <si>
    <t xml:space="preserve">т. 8, п. 3 </t>
  </si>
  <si>
    <t xml:space="preserve">Создание высотной опорной геодезической сети с использованием спутниковых систем IV класса </t>
  </si>
  <si>
    <t xml:space="preserve">т. 8, п. 4 </t>
  </si>
  <si>
    <t>т. 8, п. 4</t>
  </si>
  <si>
    <t xml:space="preserve">т. 8, п. 3, прим. 2 </t>
  </si>
  <si>
    <t>Создание высотной опорной геодезической сети; IV класс (без закладки центра)</t>
  </si>
  <si>
    <t>Письмо Минстроя России от 21.04.2025 N 23229-ИФ/09 на 2 квартал 2025г.</t>
  </si>
  <si>
    <t>Обновление инженерно-топографического плана м-ба 1:500, высота сечения рельефа 0,5м (II кат., территория пром.предприятия) со съемкой подземных коммуникаций, с детальным обследованием эстакад/колодцев.</t>
  </si>
  <si>
    <t xml:space="preserve">т. 9, п. 5,  прим.3,4,5 </t>
  </si>
  <si>
    <t xml:space="preserve">т. 9, п. 17,  прим.3,4,5     </t>
  </si>
  <si>
    <t>Обновление инженерно-топографического плана м-ба 1:2000, высота сечения рельефа 0,5м (II кат., территория пром.предприятия) со съемкой подземных коммуникаций, с детальным обследованием эстакад/колодцев.</t>
  </si>
  <si>
    <t>Создание плановой опорной геодезической сети; 2 разряд с применением спутниковых систем</t>
  </si>
  <si>
    <t>Обновление инженерно-топографического плана м-ба 1:500 сечение рельефа 0,5 (съемка подземных коммуникаций, с детальным обследованием эстакад/колодцев)  территория пром.предприятия, II кат. (составление плана с применением компьютерных технологий)</t>
  </si>
  <si>
    <t>т. 9, п. 5,  прим.3,4,5, ОУ, 15д</t>
  </si>
  <si>
    <t>т. 9, п. 5,  прим.3</t>
  </si>
  <si>
    <t>Обновление инженерно-топографического плана м-ба 1:2000 сечение рельефа 0,5 (съемка подземных коммуникаций, с детальным обследованием эстакад/колодцев)  территория пром.предприятия, II кат. (составление плана с применением компьютерных технологий)</t>
  </si>
  <si>
    <t>т. 9, п. 17,  прим.3,4,5, ОУ, 15д</t>
  </si>
  <si>
    <t>дм</t>
  </si>
  <si>
    <t>т.74, п. 1</t>
  </si>
  <si>
    <t>Составление и вычерчивание продольных 
профилей трассы линейных сооружений (протяженность трасс 27 км, масштаб горизонтальный 1:2000, количество ординат на 1 дм профиля св.20 до 40)</t>
  </si>
  <si>
    <t>Расходы по внутреннему транспорту (Расстояние от базы - 15 - 20 км)</t>
  </si>
  <si>
    <t>т. 4, п. 4</t>
  </si>
  <si>
    <t>Расходы по внешнему транспорту (расстояние проезда - св. 2000 км). 3 мес.</t>
  </si>
  <si>
    <t>т. 5 п. 6</t>
  </si>
  <si>
    <t>Специальный режим территории</t>
  </si>
  <si>
    <t>ОУ п.8 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</si>
</sst>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_р_._-;\-* #,##0.00_р_._-;_-* &quot;-&quot;??_р_._-;_-@_-"/>
    <numFmt numFmtId="165" formatCode="0.0"/>
  </numFmts>
  <fonts count="24" x14ac:knownFonts="1"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Courier"/>
      <family val="3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FF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color theme="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theme="1"/>
      <name val="Times New Roman"/>
      <family val="1"/>
    </font>
    <font>
      <sz val="10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8">
    <xf numFmtId="0" fontId="0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4" fillId="0" borderId="0"/>
    <xf numFmtId="0" fontId="4" fillId="0" borderId="0"/>
    <xf numFmtId="0" fontId="16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5" fillId="0" borderId="0" applyFont="0" applyFill="0" applyBorder="0" applyAlignment="0" applyProtection="0"/>
    <xf numFmtId="0" fontId="11" fillId="0" borderId="0"/>
    <xf numFmtId="0" fontId="18" fillId="0" borderId="0"/>
    <xf numFmtId="0" fontId="19" fillId="0" borderId="0">
      <alignment horizontal="center" vertical="center"/>
    </xf>
    <xf numFmtId="0" fontId="19" fillId="0" borderId="0">
      <alignment horizontal="left" vertical="center"/>
    </xf>
    <xf numFmtId="0" fontId="2" fillId="0" borderId="0"/>
    <xf numFmtId="164" fontId="1" fillId="0" borderId="0" applyFont="0" applyFill="0" applyBorder="0" applyAlignment="0" applyProtection="0"/>
    <xf numFmtId="0" fontId="22" fillId="0" borderId="14">
      <alignment horizontal="center" vertical="center"/>
    </xf>
    <xf numFmtId="0" fontId="22" fillId="0" borderId="15">
      <alignment horizontal="center" vertical="center"/>
    </xf>
    <xf numFmtId="0" fontId="23" fillId="0" borderId="14">
      <alignment horizontal="center" vertical="center"/>
    </xf>
    <xf numFmtId="0" fontId="22" fillId="0" borderId="14">
      <alignment horizontal="left" vertical="center"/>
    </xf>
    <xf numFmtId="0" fontId="22" fillId="0" borderId="15">
      <alignment horizontal="left" vertical="center"/>
    </xf>
    <xf numFmtId="0" fontId="22" fillId="0" borderId="0">
      <alignment horizontal="left" vertical="top"/>
    </xf>
    <xf numFmtId="0" fontId="4" fillId="0" borderId="0"/>
  </cellStyleXfs>
  <cellXfs count="94">
    <xf numFmtId="0" fontId="0" fillId="0" borderId="0" xfId="0"/>
    <xf numFmtId="0" fontId="7" fillId="2" borderId="0" xfId="2" applyFont="1" applyFill="1" applyAlignment="1" applyProtection="1">
      <alignment horizontal="left"/>
      <protection locked="0"/>
    </xf>
    <xf numFmtId="0" fontId="7" fillId="2" borderId="0" xfId="2" applyFont="1" applyFill="1"/>
    <xf numFmtId="0" fontId="6" fillId="2" borderId="0" xfId="2" applyFont="1" applyFill="1"/>
    <xf numFmtId="2" fontId="6" fillId="2" borderId="0" xfId="2" applyNumberFormat="1" applyFont="1" applyFill="1"/>
    <xf numFmtId="0" fontId="0" fillId="2" borderId="0" xfId="0" applyFill="1"/>
    <xf numFmtId="0" fontId="6" fillId="2" borderId="0" xfId="2" applyFont="1" applyFill="1" applyProtection="1">
      <protection locked="0"/>
    </xf>
    <xf numFmtId="0" fontId="6" fillId="2" borderId="0" xfId="2" applyFont="1" applyFill="1" applyAlignment="1" applyProtection="1">
      <alignment horizontal="center"/>
      <protection locked="0"/>
    </xf>
    <xf numFmtId="0" fontId="5" fillId="2" borderId="0" xfId="3" applyFont="1" applyFill="1" applyAlignment="1" applyProtection="1">
      <alignment vertical="top"/>
      <protection hidden="1"/>
    </xf>
    <xf numFmtId="0" fontId="6" fillId="2" borderId="0" xfId="3" applyFont="1" applyFill="1" applyAlignment="1">
      <alignment vertical="top"/>
    </xf>
    <xf numFmtId="0" fontId="9" fillId="2" borderId="0" xfId="3" applyFont="1" applyFill="1" applyAlignment="1">
      <alignment horizontal="center" vertical="top"/>
    </xf>
    <xf numFmtId="1" fontId="6" fillId="2" borderId="0" xfId="3" applyNumberFormat="1" applyFont="1" applyFill="1" applyAlignment="1">
      <alignment vertical="top"/>
    </xf>
    <xf numFmtId="0" fontId="6" fillId="2" borderId="0" xfId="2" applyFont="1" applyFill="1" applyAlignment="1">
      <alignment horizontal="left"/>
    </xf>
    <xf numFmtId="49" fontId="11" fillId="2" borderId="0" xfId="0" applyNumberFormat="1" applyFont="1" applyFill="1" applyAlignment="1">
      <alignment wrapText="1"/>
    </xf>
    <xf numFmtId="0" fontId="6" fillId="2" borderId="0" xfId="4" applyFont="1" applyFill="1" applyAlignment="1">
      <alignment vertical="top"/>
    </xf>
    <xf numFmtId="0" fontId="6" fillId="2" borderId="2" xfId="2" applyFont="1" applyFill="1" applyBorder="1" applyProtection="1">
      <protection locked="0"/>
    </xf>
    <xf numFmtId="0" fontId="5" fillId="2" borderId="2" xfId="4" applyFont="1" applyFill="1" applyBorder="1" applyAlignment="1">
      <alignment horizontal="right"/>
    </xf>
    <xf numFmtId="0" fontId="6" fillId="2" borderId="2" xfId="4" applyFont="1" applyFill="1" applyBorder="1"/>
    <xf numFmtId="2" fontId="6" fillId="2" borderId="2" xfId="4" applyNumberFormat="1" applyFont="1" applyFill="1" applyBorder="1"/>
    <xf numFmtId="165" fontId="6" fillId="2" borderId="2" xfId="4" applyNumberFormat="1" applyFont="1" applyFill="1" applyBorder="1"/>
    <xf numFmtId="1" fontId="6" fillId="2" borderId="2" xfId="4" applyNumberFormat="1" applyFont="1" applyFill="1" applyBorder="1"/>
    <xf numFmtId="165" fontId="5" fillId="2" borderId="1" xfId="4" applyNumberFormat="1" applyFont="1" applyFill="1" applyBorder="1" applyAlignment="1">
      <alignment horizontal="center" vertical="center" wrapText="1"/>
    </xf>
    <xf numFmtId="0" fontId="5" fillId="2" borderId="5" xfId="4" applyFont="1" applyFill="1" applyBorder="1" applyAlignment="1">
      <alignment horizontal="center" vertical="center"/>
    </xf>
    <xf numFmtId="0" fontId="5" fillId="2" borderId="6" xfId="4" applyFont="1" applyFill="1" applyBorder="1" applyAlignment="1">
      <alignment horizontal="center" vertical="center"/>
    </xf>
    <xf numFmtId="0" fontId="6" fillId="2" borderId="1" xfId="4" applyFont="1" applyFill="1" applyBorder="1" applyAlignment="1" applyProtection="1">
      <alignment horizontal="center" vertical="center"/>
      <protection hidden="1"/>
    </xf>
    <xf numFmtId="0" fontId="6" fillId="2" borderId="1" xfId="3" quotePrefix="1" applyFont="1" applyFill="1" applyBorder="1" applyAlignment="1">
      <alignment horizontal="left" vertical="center" wrapText="1"/>
    </xf>
    <xf numFmtId="2" fontId="6" fillId="2" borderId="1" xfId="3" applyNumberFormat="1" applyFont="1" applyFill="1" applyBorder="1" applyAlignment="1">
      <alignment horizontal="center" vertical="center"/>
    </xf>
    <xf numFmtId="1" fontId="6" fillId="2" borderId="1" xfId="3" applyNumberFormat="1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left" vertical="center" wrapText="1"/>
    </xf>
    <xf numFmtId="2" fontId="6" fillId="2" borderId="1" xfId="5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 applyProtection="1">
      <alignment horizontal="center" vertical="center"/>
      <protection hidden="1"/>
    </xf>
    <xf numFmtId="0" fontId="5" fillId="2" borderId="1" xfId="3" applyFont="1" applyFill="1" applyBorder="1" applyAlignment="1">
      <alignment horizontal="left" vertical="center"/>
    </xf>
    <xf numFmtId="2" fontId="5" fillId="2" borderId="1" xfId="5" applyNumberFormat="1" applyFont="1" applyFill="1" applyBorder="1" applyAlignment="1">
      <alignment horizontal="center" vertical="center"/>
    </xf>
    <xf numFmtId="0" fontId="6" fillId="2" borderId="1" xfId="3" applyFont="1" applyFill="1" applyBorder="1" applyAlignment="1" applyProtection="1">
      <alignment horizontal="center" vertical="center"/>
      <protection hidden="1"/>
    </xf>
    <xf numFmtId="0" fontId="7" fillId="2" borderId="1" xfId="3" applyFont="1" applyFill="1" applyBorder="1" applyAlignment="1" applyProtection="1">
      <alignment horizontal="center" vertical="center" wrapText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6" fillId="2" borderId="1" xfId="3" quotePrefix="1" applyFont="1" applyFill="1" applyBorder="1" applyAlignment="1">
      <alignment horizontal="center" vertical="center" wrapText="1"/>
    </xf>
    <xf numFmtId="2" fontId="17" fillId="2" borderId="1" xfId="3" applyNumberFormat="1" applyFont="1" applyFill="1" applyBorder="1" applyAlignment="1">
      <alignment horizontal="center" vertical="center"/>
    </xf>
    <xf numFmtId="2" fontId="6" fillId="2" borderId="14" xfId="5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2" fontId="12" fillId="2" borderId="1" xfId="3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4" fontId="5" fillId="2" borderId="1" xfId="5" applyNumberFormat="1" applyFont="1" applyFill="1" applyBorder="1" applyAlignment="1">
      <alignment horizontal="center" vertical="center"/>
    </xf>
    <xf numFmtId="0" fontId="5" fillId="2" borderId="14" xfId="5" applyFont="1" applyFill="1" applyBorder="1" applyAlignment="1">
      <alignment horizontal="left" vertical="center" wrapText="1"/>
    </xf>
    <xf numFmtId="1" fontId="6" fillId="2" borderId="14" xfId="5" applyNumberFormat="1" applyFont="1" applyFill="1" applyBorder="1" applyAlignment="1">
      <alignment horizontal="center" vertical="center"/>
    </xf>
    <xf numFmtId="0" fontId="6" fillId="2" borderId="14" xfId="5" applyFont="1" applyFill="1" applyBorder="1" applyAlignment="1">
      <alignment horizontal="left" vertical="center" wrapText="1"/>
    </xf>
    <xf numFmtId="0" fontId="5" fillId="2" borderId="0" xfId="4" applyFont="1" applyFill="1" applyAlignment="1" applyProtection="1">
      <alignment horizontal="right" vertical="top"/>
      <protection hidden="1"/>
    </xf>
    <xf numFmtId="165" fontId="6" fillId="2" borderId="0" xfId="4" applyNumberFormat="1" applyFont="1" applyFill="1" applyAlignment="1">
      <alignment vertical="top"/>
    </xf>
    <xf numFmtId="4" fontId="5" fillId="2" borderId="0" xfId="4" applyNumberFormat="1" applyFont="1" applyFill="1" applyAlignment="1">
      <alignment vertical="top"/>
    </xf>
    <xf numFmtId="49" fontId="11" fillId="2" borderId="0" xfId="0" applyNumberFormat="1" applyFont="1" applyFill="1" applyAlignment="1">
      <alignment vertical="top" wrapText="1"/>
    </xf>
    <xf numFmtId="0" fontId="6" fillId="2" borderId="14" xfId="3" quotePrefix="1" applyFont="1" applyFill="1" applyBorder="1" applyAlignment="1">
      <alignment horizontal="left" vertical="center" wrapText="1"/>
    </xf>
    <xf numFmtId="2" fontId="6" fillId="2" borderId="14" xfId="3" applyNumberFormat="1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horizontal="left" vertical="center" wrapText="1"/>
    </xf>
    <xf numFmtId="0" fontId="6" fillId="2" borderId="14" xfId="3" quotePrefix="1" applyFont="1" applyFill="1" applyBorder="1" applyAlignment="1">
      <alignment horizontal="center" vertical="center" wrapText="1"/>
    </xf>
    <xf numFmtId="0" fontId="6" fillId="2" borderId="14" xfId="3" applyFont="1" applyFill="1" applyBorder="1" applyAlignment="1" applyProtection="1">
      <alignment horizontal="center" vertical="center"/>
      <protection hidden="1"/>
    </xf>
    <xf numFmtId="0" fontId="6" fillId="2" borderId="14" xfId="4" applyFont="1" applyFill="1" applyBorder="1" applyAlignment="1" applyProtection="1">
      <alignment horizontal="center" vertical="center"/>
      <protection hidden="1"/>
    </xf>
    <xf numFmtId="0" fontId="6" fillId="2" borderId="16" xfId="3" applyFont="1" applyFill="1" applyBorder="1" applyAlignment="1" applyProtection="1">
      <alignment horizontal="center" vertical="center"/>
      <protection hidden="1"/>
    </xf>
    <xf numFmtId="0" fontId="6" fillId="2" borderId="4" xfId="3" applyFont="1" applyFill="1" applyBorder="1" applyAlignment="1" applyProtection="1">
      <alignment horizontal="center" vertical="center"/>
      <protection hidden="1"/>
    </xf>
    <xf numFmtId="0" fontId="6" fillId="2" borderId="16" xfId="3" quotePrefix="1" applyFont="1" applyFill="1" applyBorder="1" applyAlignment="1">
      <alignment horizontal="center" vertical="center" wrapText="1"/>
    </xf>
    <xf numFmtId="0" fontId="6" fillId="2" borderId="4" xfId="3" quotePrefix="1" applyFont="1" applyFill="1" applyBorder="1" applyAlignment="1">
      <alignment horizontal="center" vertical="center" wrapText="1"/>
    </xf>
    <xf numFmtId="2" fontId="6" fillId="2" borderId="16" xfId="3" applyNumberFormat="1" applyFont="1" applyFill="1" applyBorder="1" applyAlignment="1">
      <alignment horizontal="center" vertical="center"/>
    </xf>
    <xf numFmtId="2" fontId="6" fillId="2" borderId="4" xfId="3" applyNumberFormat="1" applyFont="1" applyFill="1" applyBorder="1" applyAlignment="1">
      <alignment horizontal="center" vertical="center"/>
    </xf>
    <xf numFmtId="49" fontId="11" fillId="2" borderId="0" xfId="0" applyNumberFormat="1" applyFont="1" applyFill="1" applyAlignment="1">
      <alignment horizontal="left" vertical="top" wrapText="1"/>
    </xf>
    <xf numFmtId="49" fontId="11" fillId="2" borderId="0" xfId="0" applyNumberFormat="1" applyFont="1" applyFill="1" applyAlignment="1">
      <alignment horizontal="center" vertical="center" wrapText="1"/>
    </xf>
    <xf numFmtId="0" fontId="7" fillId="2" borderId="10" xfId="3" applyFont="1" applyFill="1" applyBorder="1" applyAlignment="1" applyProtection="1">
      <alignment horizontal="center" vertical="center"/>
      <protection hidden="1"/>
    </xf>
    <xf numFmtId="0" fontId="7" fillId="2" borderId="12" xfId="3" applyFont="1" applyFill="1" applyBorder="1" applyAlignment="1" applyProtection="1">
      <alignment horizontal="center" vertical="center"/>
      <protection hidden="1"/>
    </xf>
    <xf numFmtId="0" fontId="7" fillId="2" borderId="10" xfId="3" applyFont="1" applyFill="1" applyBorder="1" applyAlignment="1" applyProtection="1">
      <alignment horizontal="center" vertical="center" wrapText="1"/>
      <protection hidden="1"/>
    </xf>
    <xf numFmtId="0" fontId="7" fillId="2" borderId="11" xfId="3" applyFont="1" applyFill="1" applyBorder="1" applyAlignment="1" applyProtection="1">
      <alignment horizontal="center" vertical="center" wrapText="1"/>
      <protection hidden="1"/>
    </xf>
    <xf numFmtId="0" fontId="7" fillId="2" borderId="12" xfId="3" applyFont="1" applyFill="1" applyBorder="1" applyAlignment="1" applyProtection="1">
      <alignment horizontal="center" vertical="center" wrapText="1"/>
      <protection hidden="1"/>
    </xf>
    <xf numFmtId="0" fontId="7" fillId="2" borderId="1" xfId="3" applyFont="1" applyFill="1" applyBorder="1" applyAlignment="1" applyProtection="1">
      <alignment horizontal="center" vertical="center" wrapText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6" fillId="2" borderId="0" xfId="2" applyFont="1" applyFill="1" applyAlignment="1">
      <alignment horizontal="center"/>
    </xf>
    <xf numFmtId="0" fontId="7" fillId="2" borderId="2" xfId="2" applyFont="1" applyFill="1" applyBorder="1" applyAlignment="1">
      <alignment horizontal="left"/>
    </xf>
    <xf numFmtId="0" fontId="6" fillId="2" borderId="0" xfId="2" applyFont="1" applyFill="1" applyAlignment="1">
      <alignment horizontal="left" wrapText="1"/>
    </xf>
    <xf numFmtId="0" fontId="6" fillId="2" borderId="0" xfId="2" applyFont="1" applyFill="1" applyAlignment="1">
      <alignment horizontal="left"/>
    </xf>
    <xf numFmtId="0" fontId="5" fillId="2" borderId="4" xfId="4" applyFont="1" applyFill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2" borderId="13" xfId="4" applyFont="1" applyFill="1" applyBorder="1" applyAlignment="1">
      <alignment horizontal="center" vertical="center" wrapText="1"/>
    </xf>
    <xf numFmtId="2" fontId="5" fillId="2" borderId="4" xfId="4" applyNumberFormat="1" applyFont="1" applyFill="1" applyBorder="1" applyAlignment="1">
      <alignment horizontal="center" vertical="center" wrapText="1"/>
    </xf>
    <xf numFmtId="2" fontId="5" fillId="2" borderId="1" xfId="4" applyNumberFormat="1" applyFont="1" applyFill="1" applyBorder="1" applyAlignment="1">
      <alignment horizontal="center" vertical="center" wrapText="1"/>
    </xf>
    <xf numFmtId="165" fontId="5" fillId="2" borderId="4" xfId="4" applyNumberFormat="1" applyFont="1" applyFill="1" applyBorder="1" applyAlignment="1">
      <alignment horizontal="center" vertical="center" wrapText="1"/>
    </xf>
    <xf numFmtId="165" fontId="5" fillId="2" borderId="1" xfId="4" applyNumberFormat="1" applyFont="1" applyFill="1" applyBorder="1" applyAlignment="1">
      <alignment horizontal="center" vertical="center" wrapText="1"/>
    </xf>
    <xf numFmtId="1" fontId="5" fillId="2" borderId="4" xfId="4" applyNumberFormat="1" applyFont="1" applyFill="1" applyBorder="1" applyAlignment="1">
      <alignment horizontal="center" vertical="center" wrapText="1"/>
    </xf>
    <xf numFmtId="1" fontId="5" fillId="2" borderId="1" xfId="4" applyNumberFormat="1" applyFont="1" applyFill="1" applyBorder="1" applyAlignment="1">
      <alignment horizontal="center" vertical="center" wrapText="1"/>
    </xf>
    <xf numFmtId="0" fontId="7" fillId="2" borderId="7" xfId="3" applyFont="1" applyFill="1" applyBorder="1" applyAlignment="1" applyProtection="1">
      <alignment horizontal="center" vertical="center"/>
      <protection hidden="1"/>
    </xf>
    <xf numFmtId="0" fontId="7" fillId="2" borderId="8" xfId="3" applyFont="1" applyFill="1" applyBorder="1" applyAlignment="1" applyProtection="1">
      <alignment horizontal="center" vertical="center"/>
      <protection hidden="1"/>
    </xf>
    <xf numFmtId="0" fontId="7" fillId="2" borderId="9" xfId="3" applyFont="1" applyFill="1" applyBorder="1" applyAlignment="1" applyProtection="1">
      <alignment horizontal="center" vertical="center"/>
      <protection hidden="1"/>
    </xf>
    <xf numFmtId="0" fontId="5" fillId="2" borderId="0" xfId="2" applyFont="1" applyFill="1" applyAlignment="1">
      <alignment horizontal="center" vertical="center"/>
    </xf>
    <xf numFmtId="0" fontId="9" fillId="2" borderId="3" xfId="3" applyFont="1" applyFill="1" applyBorder="1" applyAlignment="1">
      <alignment horizontal="center" vertical="top"/>
    </xf>
    <xf numFmtId="0" fontId="9" fillId="2" borderId="0" xfId="3" applyFont="1" applyFill="1" applyAlignment="1">
      <alignment horizontal="center" vertical="top"/>
    </xf>
    <xf numFmtId="0" fontId="6" fillId="2" borderId="0" xfId="2" applyFont="1" applyFill="1" applyAlignment="1">
      <alignment horizontal="center" wrapText="1"/>
    </xf>
    <xf numFmtId="0" fontId="10" fillId="2" borderId="2" xfId="2" applyFont="1" applyFill="1" applyBorder="1" applyAlignment="1" applyProtection="1">
      <alignment horizontal="left" wrapText="1"/>
      <protection locked="0"/>
    </xf>
  </cellXfs>
  <cellStyles count="28">
    <cellStyle name="Excel Built-in Normal" xfId="10"/>
    <cellStyle name="S10" xfId="18"/>
    <cellStyle name="S11" xfId="17"/>
    <cellStyle name="S14" xfId="22"/>
    <cellStyle name="S15" xfId="25"/>
    <cellStyle name="S3" xfId="26"/>
    <cellStyle name="S7" xfId="21"/>
    <cellStyle name="S8" xfId="23"/>
    <cellStyle name="S9" xfId="24"/>
    <cellStyle name="Обычный" xfId="0" builtinId="0"/>
    <cellStyle name="Обычный 10" xfId="4"/>
    <cellStyle name="Обычный 10 2" xfId="8"/>
    <cellStyle name="Обычный 2" xfId="6"/>
    <cellStyle name="Обычный 2 2" xfId="9"/>
    <cellStyle name="Обычный 2 2 2" xfId="27"/>
    <cellStyle name="Обычный 2 3" xfId="13"/>
    <cellStyle name="Обычный 3" xfId="15"/>
    <cellStyle name="Обычный 3 2" xfId="1"/>
    <cellStyle name="Обычный 4" xfId="16"/>
    <cellStyle name="Обычный 5" xfId="7"/>
    <cellStyle name="Обычный 6" xfId="19"/>
    <cellStyle name="Обычный_6200_PRT" xfId="2"/>
    <cellStyle name="Обычный_6200РД" xfId="3"/>
    <cellStyle name="Обычный_6200РД 2" xfId="5"/>
    <cellStyle name="Процентный 2" xfId="12"/>
    <cellStyle name="Финансовый 2" xfId="11"/>
    <cellStyle name="Финансовый 3" xfId="14"/>
    <cellStyle name="Финансовый 5" xfId="2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rplata_1\&#1044;&#1077;&#1085;&#1080;&#1089;\&#1089;&#1086;&#1093;&#1088;&#1072;&#1085;&#1080;&#1090;&#11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sibur.local\NIPI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s\Zarplata_1\&#1044;&#1077;&#1085;&#1080;&#1089;\&#1089;&#1086;&#1093;&#1088;&#1072;&#1085;&#1080;&#1090;&#110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Lucenko\&#1084;&#1086;&#1080;%20&#1076;&#1086;&#1082;&#1091;&#1084;&#1077;&#1085;&#1090;\TEMP\ps1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&#1055;&#1088;&#1086;&#1077;&#1082;&#1090;&#1099;\&#1055;&#1086;&#1076;&#1088;&#1103;&#1076;\&#1056;&#1043;&#1048;%20&#1069;&#1055;-600\2-&#1057;&#1084;&#1077;&#1090;&#1072;%20&#1048;&#1043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топо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Списки"/>
      <sheetName val="ПДР"/>
      <sheetName val="DATA"/>
      <sheetName val="см8"/>
      <sheetName val="вариант"/>
      <sheetName val="6.14_КР"/>
      <sheetName val="Обновление"/>
      <sheetName val="Цена"/>
      <sheetName val="Product"/>
      <sheetName val="Summary"/>
      <sheetName val="свод 2"/>
      <sheetName val="Прилож"/>
      <sheetName val="все"/>
      <sheetName val="Табл38-7"/>
      <sheetName val="Зап-3- СЦБ"/>
      <sheetName val="Кредиты"/>
      <sheetName val="информация"/>
      <sheetName val="13.1"/>
      <sheetName val="Пример расчета"/>
      <sheetName val="СметаСводная Рыб"/>
      <sheetName val="Нормы"/>
      <sheetName val="Текущие цены"/>
      <sheetName val="рабочий"/>
      <sheetName val="окраска"/>
      <sheetName val="отчет эл_эн  2000"/>
      <sheetName val="к.84-к.83"/>
      <sheetName val="Счет-Фактура"/>
      <sheetName val="Коэфф1."/>
      <sheetName val="График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Данные_для_расчёта_сметы"/>
      <sheetName val="6_14_КР"/>
      <sheetName val="свод_2"/>
      <sheetName val="Зап-3-_СЦБ"/>
      <sheetName val="13_1"/>
      <sheetName val="Пример_расчета"/>
      <sheetName val="СметаСводная_Рыб"/>
      <sheetName val="ПОДПИСИ"/>
      <sheetName val="РАСЧЕТ"/>
      <sheetName val="КП (2)"/>
      <sheetName val="Бюджет"/>
      <sheetName val="Norm"/>
      <sheetName val="sapactivexlhiddensheet"/>
      <sheetName val="Текущие_цены"/>
      <sheetName val="отчет_эл_эн__2000"/>
      <sheetName val="к_84-к_83"/>
      <sheetName val="6.3"/>
      <sheetName val="6.7"/>
      <sheetName val="6.3.1.3"/>
      <sheetName val="Лист2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ИГ1"/>
      <sheetName val="К.рын"/>
      <sheetName val="Сводная смета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93-110"/>
      <sheetName val="Св. смета"/>
      <sheetName val="РБС ИЗМ1"/>
      <sheetName val="СметаСводная снег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Opex personnel (Term facs)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Source lists"/>
      <sheetName val="Восстановл_Лист37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свод_ИИР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Lucent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ИД СМР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СМ"/>
      <sheetName val="СМИС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ИД ПНР"/>
      <sheetName val="кап.ремонт"/>
      <sheetName val="Обор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ехнический лист"/>
      <sheetName val="анализ 2003_2004исполнение МТО"/>
      <sheetName val="Приложение 2"/>
      <sheetName val="Исх1"/>
      <sheetName val="Тестовый"/>
      <sheetName val="Panduit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Смета 7"/>
      <sheetName val="Бл_электр_"/>
      <sheetName val="Прил.5 СС"/>
      <sheetName val="расчет вязкости"/>
      <sheetName val="Сравнение с Finder - ДНС-5"/>
      <sheetName val="Пра_x0000_с_лист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Промер глуб"/>
      <sheetName val="SENSITIVITY"/>
      <sheetName val="Расчет №1.1"/>
      <sheetName val="Расчет №2.1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Коэфф1_3"/>
      <sheetName val="6_32"/>
      <sheetName val="6_72"/>
      <sheetName val="6_3_1_32"/>
      <sheetName val="Смета2_проект__раб_3"/>
      <sheetName val="Смета_13"/>
      <sheetName val="Production_and_Spend2"/>
      <sheetName val="Прайс_лист3"/>
      <sheetName val="См_1_наруж_водопровод3"/>
      <sheetName val="Разработка_проекта3"/>
      <sheetName val="КП_НовоКов3"/>
      <sheetName val="СметаСводная_1_оч3"/>
      <sheetName val="свод_(2)2"/>
      <sheetName val="Калплан_ОИ2_Макм_крестики2"/>
      <sheetName val="Св__смета2"/>
      <sheetName val="РБС_ИЗМ12"/>
      <sheetName val="Таблица_22"/>
      <sheetName val="ст_ГТМ2"/>
      <sheetName val="кп_ГК2"/>
      <sheetName val="Справочные_данные2"/>
      <sheetName val="суб_подряд3"/>
      <sheetName val="ПСБ_-_ОЭ3"/>
      <sheetName val="смета_СИД2"/>
      <sheetName val="ресурсная_вед_2"/>
      <sheetName val="КП_к_ГК2"/>
      <sheetName val="изыскания_22"/>
      <sheetName val="Калплан_Кра2"/>
      <sheetName val="6_11_новый2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Исх__данные"/>
      <sheetName val="Main_list"/>
      <sheetName val="ПД-2_2"/>
      <sheetName val="1_14"/>
      <sheetName val="1_7"/>
      <sheetName val="Промер_глуб"/>
      <sheetName val="Форма 2.1"/>
      <sheetName val="ДЦ"/>
      <sheetName val=" Оборудование  end"/>
      <sheetName val="автоматизация РД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РС"/>
      <sheetName val="Акт-Смета_30"/>
      <sheetName val="Смета 2 эл.монтаж"/>
      <sheetName val="Смета 1 общестроит"/>
      <sheetName val="сводная (2)"/>
      <sheetName val="см 5 ОДД "/>
      <sheetName val="Смета _4ПР ЭХЗ"/>
      <sheetName val="Акт выполненных работ 46"/>
      <sheetName val="SMW_Служебная"/>
      <sheetName val="СВ"/>
      <sheetName val="Настройки"/>
      <sheetName val="Производство электроэнергии"/>
      <sheetName val="Т11"/>
      <sheetName val="Т12"/>
      <sheetName val="Т7"/>
      <sheetName val="GLOBAL"/>
      <sheetName val="Прочее"/>
      <sheetName val="ИНСТРУКЦИЯ"/>
      <sheetName val="темп"/>
      <sheetName val="ЛЧ Р"/>
      <sheetName val="2.1"/>
      <sheetName val="Расч(подряд)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>
        <row r="1">
          <cell r="B1">
            <v>0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>
        <row r="1">
          <cell r="B1">
            <v>0</v>
          </cell>
        </row>
      </sheetData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1">
          <cell r="B1">
            <v>0</v>
          </cell>
        </row>
      </sheetData>
      <sheetData sheetId="1066" refreshError="1"/>
      <sheetData sheetId="1067"/>
      <sheetData sheetId="1068" refreshError="1"/>
      <sheetData sheetId="1069" refreshError="1"/>
      <sheetData sheetId="1070">
        <row r="1">
          <cell r="B1">
            <v>0</v>
          </cell>
        </row>
      </sheetData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>
        <row r="1">
          <cell r="B1">
            <v>0</v>
          </cell>
        </row>
      </sheetData>
      <sheetData sheetId="1079"/>
      <sheetData sheetId="1080">
        <row r="1">
          <cell r="B1">
            <v>0</v>
          </cell>
        </row>
      </sheetData>
      <sheetData sheetId="1081">
        <row r="1">
          <cell r="B1">
            <v>0</v>
          </cell>
        </row>
      </sheetData>
      <sheetData sheetId="1082">
        <row r="1">
          <cell r="B1">
            <v>0</v>
          </cell>
        </row>
      </sheetData>
      <sheetData sheetId="1083"/>
      <sheetData sheetId="1084">
        <row r="1">
          <cell r="B1">
            <v>0</v>
          </cell>
        </row>
      </sheetData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1">
          <cell r="B1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>
        <row r="1">
          <cell r="B1">
            <v>0</v>
          </cell>
        </row>
      </sheetData>
      <sheetData sheetId="1125"/>
      <sheetData sheetId="1126">
        <row r="1">
          <cell r="B1">
            <v>0</v>
          </cell>
        </row>
      </sheetData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>
        <row r="1">
          <cell r="B1">
            <v>0</v>
          </cell>
        </row>
      </sheetData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вод_ИИР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Source lists"/>
      <sheetName val="Восстановл_Лист37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Форма 2.1"/>
      <sheetName val="Б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СметаСводная снег"/>
      <sheetName val="Дополнительные параметры"/>
      <sheetName val="топо"/>
      <sheetName val="свод"/>
      <sheetName val="Лист2"/>
      <sheetName val="93-110"/>
      <sheetName val="Лист опроса"/>
      <sheetName val="к.84-к.83"/>
      <sheetName val="Шкаф"/>
      <sheetName val="Коэфф1."/>
      <sheetName val="Прайс лист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см8"/>
      <sheetName val="Данные для расчёта сметы"/>
      <sheetName val="Зап-3- СЦБ"/>
      <sheetName val="СМЕТА проект"/>
      <sheetName val="ТИТУЛ"/>
      <sheetName val="6.14"/>
      <sheetName val="ОБЩЕСТВА"/>
      <sheetName val="6.3.1"/>
      <sheetName val="6.20"/>
      <sheetName val="6.4.1"/>
      <sheetName val="ПРОГНОЗ_1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ПДР"/>
      <sheetName val="DATA"/>
      <sheetName val="вариант"/>
      <sheetName val="Обновление"/>
      <sheetName val="Цена"/>
      <sheetName val="Product"/>
      <sheetName val="Summary"/>
      <sheetName val="Пример расчета"/>
      <sheetName val="свод 2"/>
      <sheetName val="Табл38-7"/>
      <sheetName val="все"/>
      <sheetName val="информация"/>
      <sheetName val="Кредиты"/>
      <sheetName val="СметаСводная Рыб"/>
      <sheetName val="Нормы"/>
      <sheetName val="13.1"/>
      <sheetName val="Текущие цены"/>
      <sheetName val="рабочий"/>
      <sheetName val="окраска"/>
      <sheetName val="отчет эл_эн  2000"/>
      <sheetName val="Счет-Фактура"/>
      <sheetName val="График"/>
      <sheetName val="2002(v2)"/>
      <sheetName val="справ."/>
      <sheetName val="справ_"/>
      <sheetName val="2002_v2_"/>
      <sheetName val="эл_химз_1"/>
      <sheetName val="геология_1"/>
      <sheetName val="СметаСводная_снег"/>
      <sheetName val="Лист_опроса"/>
      <sheetName val="к_84-к_83"/>
      <sheetName val="Коэфф1_"/>
      <sheetName val="Прайс_лист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Данные_для_расчёта_сметы"/>
      <sheetName val="Зап-3-_СЦБ"/>
      <sheetName val="СМЕТА_проект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Пример_расчета"/>
      <sheetName val="свод_2"/>
      <sheetName val="СметаСводная_Рыб"/>
      <sheetName val="13_1"/>
      <sheetName val="Текущие_цены"/>
      <sheetName val="отчет_эл_эн__2000"/>
      <sheetName val="справ_1"/>
      <sheetName val="Дополнительные_параметры"/>
      <sheetName val="ПОДПИСИ"/>
      <sheetName val="РАСЧЕТ"/>
      <sheetName val="КП (2)"/>
      <sheetName val="Бюджет"/>
      <sheetName val="Norm"/>
      <sheetName val="6.3"/>
      <sheetName val="6.7"/>
      <sheetName val="6.3.1.3"/>
      <sheetName val="К.рын"/>
      <sheetName val="Сводная смета"/>
      <sheetName val="sapactivexlhiddensheet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СметаСводная 1 оч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Св. смета"/>
      <sheetName val="РБС ИЗМ1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.401.2"/>
      <sheetName val="Rub"/>
      <sheetName val="Общая часть"/>
      <sheetName val="Табл.5"/>
      <sheetName val="свод_ИИР"/>
      <sheetName val="1155"/>
      <sheetName val="HP_и_оргтехника"/>
      <sheetName val="выборка на22 июня"/>
      <sheetName val="свод_3"/>
      <sheetName val="ОПС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Lucent"/>
      <sheetName val="ИД СМР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геолог"/>
      <sheetName val="Курс доллара"/>
      <sheetName val="Календарь новый"/>
      <sheetName val="15"/>
      <sheetName val="Source lists"/>
      <sheetName val="Восстановл_Лист37"/>
      <sheetName val="Смета № 1 ИИ линия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PO Data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Прибыль_опл"/>
      <sheetName val="Амур_ДОН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СМ"/>
      <sheetName val="СМИС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 refreshError="1"/>
      <sheetData sheetId="1064" refreshError="1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Курс доллара"/>
      <sheetName val="Лист3"/>
      <sheetName val="Данные для расчёта сметы"/>
      <sheetName val="топография"/>
      <sheetName val="Курс_доллара"/>
      <sheetName val="ПО 1-7"/>
      <sheetName val="СметаСводная"/>
      <sheetName val="Коэфф1."/>
      <sheetName val="ставки"/>
      <sheetName val="Лист7"/>
      <sheetName val="свод 2"/>
      <sheetName val="Смета"/>
      <sheetName val="СметаСводная Колпино"/>
      <sheetName val="Смета-Т"/>
      <sheetName val="ps198"/>
      <sheetName val="ОПС"/>
      <sheetName val="Дог цена"/>
      <sheetName val="Курс $"/>
      <sheetName val="к-ты"/>
      <sheetName val="Сводный СР"/>
      <sheetName val="ИМЯ"/>
      <sheetName val="Имя2"/>
      <sheetName val="консолидация"/>
      <sheetName val="счет-фактура"/>
      <sheetName val="Сводная смета"/>
      <sheetName val="выборка на22 июня"/>
      <sheetName val="ид смр"/>
      <sheetName val="Курс_доллара1"/>
      <sheetName val="Данные_для_расчёта_сметы"/>
      <sheetName val="Коэфф1_"/>
      <sheetName val="ПО_1-7"/>
      <sheetName val="свод_2"/>
      <sheetName val="СметаСводная_Колпино"/>
      <sheetName val="Дог_цена"/>
      <sheetName val="Курс_$"/>
      <sheetName val="Сводный_СР"/>
      <sheetName val="Справка"/>
      <sheetName val="Новый справочник БДР"/>
      <sheetName val="Курсы"/>
      <sheetName val="Payments 2006"/>
      <sheetName val="выборка_на22_июня"/>
      <sheetName val="DATA"/>
      <sheetName val="ЛЧ Р"/>
      <sheetName val="СметаСводная Рыб"/>
      <sheetName val="хар_"/>
      <sheetName val="с1_"/>
      <sheetName val="выборка заказчик"/>
      <sheetName val="спр1"/>
      <sheetName val="ИД"/>
      <sheetName val="спецификация"/>
      <sheetName val="Общ"/>
      <sheetName val="шаблон"/>
      <sheetName val="смета проект"/>
      <sheetName val="терм.обез"/>
      <sheetName val="химреаг."/>
      <sheetName val="12"/>
      <sheetName val="оборуд_1"/>
      <sheetName val="Расчет_ССР"/>
      <sheetName val="(свод)"/>
      <sheetName val="D"/>
      <sheetName val="Списки"/>
      <sheetName val="Ресурсы"/>
      <sheetName val="Объекты"/>
      <sheetName val="исх-данные"/>
    </sheetNames>
    <sheetDataSet>
      <sheetData sheetId="0">
        <row r="2">
          <cell r="A2">
            <v>25</v>
          </cell>
        </row>
      </sheetData>
      <sheetData sheetId="1" refreshError="1">
        <row r="2">
          <cell r="A2">
            <v>25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A2">
            <v>25</v>
          </cell>
        </row>
      </sheetData>
      <sheetData sheetId="29">
        <row r="2">
          <cell r="A2">
            <v>25</v>
          </cell>
        </row>
      </sheetData>
      <sheetData sheetId="30">
        <row r="2">
          <cell r="A2">
            <v>25</v>
          </cell>
        </row>
      </sheetData>
      <sheetData sheetId="31">
        <row r="2">
          <cell r="A2">
            <v>25</v>
          </cell>
        </row>
      </sheetData>
      <sheetData sheetId="32">
        <row r="2">
          <cell r="A2">
            <v>25</v>
          </cell>
        </row>
      </sheetData>
      <sheetData sheetId="33">
        <row r="2">
          <cell r="A2">
            <v>25</v>
          </cell>
        </row>
      </sheetData>
      <sheetData sheetId="34">
        <row r="2">
          <cell r="A2">
            <v>25</v>
          </cell>
        </row>
      </sheetData>
      <sheetData sheetId="35">
        <row r="2">
          <cell r="A2">
            <v>25</v>
          </cell>
        </row>
      </sheetData>
      <sheetData sheetId="36">
        <row r="2">
          <cell r="A2">
            <v>25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>
        <row r="2">
          <cell r="A2">
            <v>25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3труба (П)"/>
      <sheetName val="Восстановл_Лист37"/>
      <sheetName val="Объемы работ по ПВ"/>
      <sheetName val="16"/>
      <sheetName val="Таблица 5"/>
      <sheetName val="Таблица 3"/>
      <sheetName val="Коэф"/>
      <sheetName val="1.401.2"/>
      <sheetName val="Source lists"/>
      <sheetName val="PO Data"/>
      <sheetName val="Rub"/>
      <sheetName val="ПД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_ИИР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Tier 311208"/>
      <sheetName val="Акт выбора"/>
      <sheetName val="См.№7 Эл."/>
      <sheetName val="См.№8 Пож."/>
      <sheetName val="См.№3 ВиК"/>
      <sheetName val="Полигон - ИЭИ "/>
      <sheetName val="Ком"/>
      <sheetName val="№1"/>
      <sheetName val="лч и ка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2-stage"/>
      <sheetName val="База Геодезия"/>
      <sheetName val="База Геология"/>
      <sheetName val="СМ_x000b__x0011__x0012__x000c__x0011__x0011__x0011__x0011__x0011__x0011_"/>
      <sheetName val="ᄀᄀᄀᄀᄀᄀᄀᄀᄀᄀᄀᄀᄀᄀᄀᄀᄀ"/>
      <sheetName val="См.3_АСУ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Виды работ АСО"/>
      <sheetName val="Объем работ"/>
      <sheetName val="таблица_руко_x0019__x0015_ _x0003__x000c__x0011__x0011_"/>
      <sheetName val="ФОТ для смет"/>
      <sheetName val="ЛС_РЕС"/>
      <sheetName val="BACT"/>
      <sheetName val="таблица_руко_x0019__x0015__x0009__x0003__x000c__x0011__x0011_"/>
      <sheetName val="СВ 2"/>
      <sheetName val="СМ"/>
      <sheetName val="6"/>
      <sheetName val="1.14"/>
      <sheetName val="1.7"/>
      <sheetName val="_x0000__x0000_"/>
      <sheetName val="MararashAA"/>
      <sheetName val="ПРОЦЕНТЫ"/>
      <sheetName val="Бл.электр."/>
      <sheetName val="8"/>
      <sheetName val="ПД-2.2"/>
      <sheetName val="2 Геология"/>
      <sheetName val="Общ"/>
      <sheetName val="Норм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Вспом."/>
      <sheetName val="УКП"/>
      <sheetName val="БД"/>
      <sheetName val="Лист4"/>
      <sheetName val="Общий"/>
      <sheetName val="ТабР"/>
      <sheetName val="База"/>
      <sheetName val="ИД ПНР"/>
      <sheetName val="#ССЫЛКА"/>
      <sheetName val="basa"/>
      <sheetName val="пофакторный"/>
      <sheetName val="РАСШИФ_ЦЕХ_РАСХ"/>
      <sheetName val="топ"/>
      <sheetName val="кап.ремонт"/>
      <sheetName val="Дог_рас"/>
      <sheetName val="Ограничения шаблон"/>
      <sheetName val="Обор"/>
      <sheetName val="1.2_"/>
      <sheetName val="Лист"/>
      <sheetName val="Исх"/>
      <sheetName val="Base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КБК ДПК"/>
      <sheetName val="Main list"/>
      <sheetName val="ЕТС (ф)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анализ 2003_2004исполнение МТО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  <sheetName val="выборка "/>
      <sheetName val="выборка раб"/>
      <sheetName val="Свод2006"/>
      <sheetName val="1 кв"/>
      <sheetName val="РС"/>
      <sheetName val="см 5 ОДД "/>
      <sheetName val="Смета _4ПР ЭХЗ"/>
      <sheetName val="GLOBAL"/>
      <sheetName val="Прочее"/>
      <sheetName val="ИНСТРУКЦИЯ"/>
      <sheetName val="темп"/>
      <sheetName val="ЛЧ Р"/>
      <sheetName val="2.1"/>
      <sheetName val="СВ"/>
      <sheetName val="Настройки"/>
      <sheetName val="Производство электроэнергии"/>
      <sheetName val="Т11"/>
      <sheetName val="Т12"/>
      <sheetName val="Т7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/>
      <sheetData sheetId="1320" refreshError="1"/>
      <sheetData sheetId="1321"/>
      <sheetData sheetId="1322"/>
      <sheetData sheetId="1323"/>
      <sheetData sheetId="1324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1">
          <cell r="B1" t="str">
            <v>Сейсморазведка МОВ-ОГТ на одном типе волн</v>
          </cell>
        </row>
        <row r="2">
          <cell r="B2" t="str">
            <v>Сейсморазведка МОВ-ОГТ на двух типах волн</v>
          </cell>
        </row>
        <row r="3">
          <cell r="B3" t="str">
            <v>Сейсморазведка МПВ на одном типе волн</v>
          </cell>
        </row>
        <row r="4">
          <cell r="B4" t="str">
            <v>Сейсморазведка МПВ на двух типах волн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view="pageBreakPreview" zoomScale="130" zoomScaleNormal="100" zoomScaleSheetLayoutView="130" workbookViewId="0">
      <selection activeCell="K43" sqref="K43"/>
    </sheetView>
  </sheetViews>
  <sheetFormatPr defaultColWidth="8.5703125" defaultRowHeight="18.5" x14ac:dyDescent="0.45"/>
  <cols>
    <col min="1" max="1" width="3" style="5" customWidth="1"/>
    <col min="2" max="2" width="27" style="5" customWidth="1"/>
    <col min="3" max="3" width="5.5703125" style="5" customWidth="1"/>
    <col min="4" max="4" width="5.92578125" style="5" customWidth="1"/>
    <col min="5" max="5" width="8" style="5" customWidth="1"/>
    <col min="6" max="6" width="10.0703125" style="5" customWidth="1"/>
    <col min="7" max="7" width="6.5703125" style="5" customWidth="1"/>
    <col min="8" max="8" width="5.42578125" style="5" customWidth="1"/>
    <col min="9" max="9" width="6" style="5" customWidth="1"/>
    <col min="10" max="10" width="3.42578125" style="5" customWidth="1"/>
    <col min="11" max="11" width="11.5703125" style="5" customWidth="1"/>
    <col min="12" max="16384" width="8.5703125" style="5"/>
  </cols>
  <sheetData>
    <row r="1" spans="1:11" x14ac:dyDescent="0.45">
      <c r="A1" s="1"/>
      <c r="B1" s="2"/>
      <c r="C1" s="2"/>
      <c r="D1" s="3"/>
      <c r="E1" s="3"/>
      <c r="F1" s="4"/>
      <c r="G1" s="3"/>
      <c r="H1" s="3"/>
      <c r="I1" s="3"/>
      <c r="J1" s="3"/>
      <c r="K1" s="4"/>
    </row>
    <row r="2" spans="1:11" x14ac:dyDescent="0.45">
      <c r="A2" s="89" t="s">
        <v>24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x14ac:dyDescent="0.45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ht="19" thickBot="1" x14ac:dyDescent="0.5">
      <c r="A4" s="6"/>
      <c r="B4" s="6"/>
      <c r="C4" s="15"/>
      <c r="D4" s="15" t="s">
        <v>20</v>
      </c>
      <c r="E4" s="15"/>
      <c r="F4" s="15"/>
      <c r="G4" s="15"/>
      <c r="H4" s="7"/>
      <c r="I4" s="7"/>
      <c r="J4" s="7"/>
      <c r="K4" s="6"/>
    </row>
    <row r="5" spans="1:11" x14ac:dyDescent="0.45">
      <c r="A5" s="8"/>
      <c r="B5" s="9"/>
      <c r="C5" s="9"/>
      <c r="D5" s="90" t="s">
        <v>1</v>
      </c>
      <c r="E5" s="90"/>
      <c r="F5" s="90"/>
      <c r="G5" s="90"/>
      <c r="H5" s="91"/>
      <c r="I5" s="10"/>
      <c r="J5" s="10"/>
      <c r="K5" s="11"/>
    </row>
    <row r="6" spans="1:11" x14ac:dyDescent="0.45">
      <c r="A6" s="3"/>
      <c r="B6" s="3"/>
      <c r="C6" s="3"/>
      <c r="D6" s="3"/>
      <c r="E6" s="3"/>
      <c r="F6" s="4"/>
      <c r="G6" s="3"/>
      <c r="H6" s="3"/>
      <c r="I6" s="3"/>
      <c r="J6" s="3"/>
      <c r="K6" s="4"/>
    </row>
    <row r="7" spans="1:11" ht="98.25" customHeight="1" thickBot="1" x14ac:dyDescent="0.5">
      <c r="A7" s="92" t="s">
        <v>2</v>
      </c>
      <c r="B7" s="92"/>
      <c r="C7" s="92"/>
      <c r="D7" s="93"/>
      <c r="E7" s="93"/>
      <c r="F7" s="93"/>
      <c r="G7" s="93"/>
      <c r="H7" s="93"/>
      <c r="I7" s="93"/>
      <c r="J7" s="93"/>
      <c r="K7" s="93"/>
    </row>
    <row r="8" spans="1:11" x14ac:dyDescent="0.45">
      <c r="A8" s="3"/>
      <c r="B8" s="3"/>
      <c r="C8" s="3"/>
      <c r="D8" s="3"/>
      <c r="E8" s="3"/>
      <c r="F8" s="4"/>
      <c r="G8" s="3"/>
      <c r="H8" s="3"/>
      <c r="I8" s="3"/>
      <c r="J8" s="3"/>
      <c r="K8" s="4"/>
    </row>
    <row r="9" spans="1:11" ht="19" thickBot="1" x14ac:dyDescent="0.5">
      <c r="A9" s="73" t="s">
        <v>3</v>
      </c>
      <c r="B9" s="73"/>
      <c r="C9" s="73"/>
      <c r="D9" s="74" t="s">
        <v>48</v>
      </c>
      <c r="E9" s="74"/>
      <c r="F9" s="74"/>
      <c r="G9" s="74"/>
      <c r="H9" s="74"/>
      <c r="I9" s="74"/>
      <c r="J9" s="74"/>
      <c r="K9" s="74"/>
    </row>
    <row r="10" spans="1:11" x14ac:dyDescent="0.45">
      <c r="A10" s="3"/>
      <c r="B10" s="3"/>
      <c r="C10" s="3"/>
      <c r="D10" s="3"/>
      <c r="E10" s="12"/>
      <c r="F10" s="4"/>
      <c r="G10" s="3"/>
      <c r="H10" s="3"/>
      <c r="I10" s="3"/>
      <c r="J10" s="3"/>
      <c r="K10" s="4"/>
    </row>
    <row r="11" spans="1:11" ht="19" thickBot="1" x14ac:dyDescent="0.5">
      <c r="A11" s="73" t="s">
        <v>4</v>
      </c>
      <c r="B11" s="73"/>
      <c r="C11" s="73"/>
      <c r="D11" s="74"/>
      <c r="E11" s="74"/>
      <c r="F11" s="74"/>
      <c r="G11" s="74"/>
      <c r="H11" s="74"/>
      <c r="I11" s="74"/>
      <c r="J11" s="74"/>
      <c r="K11" s="74"/>
    </row>
    <row r="12" spans="1:11" x14ac:dyDescent="0.45">
      <c r="A12" s="3"/>
      <c r="B12" s="3"/>
      <c r="C12" s="3"/>
      <c r="D12" s="3"/>
      <c r="E12" s="3"/>
      <c r="F12" s="4"/>
      <c r="G12" s="3"/>
      <c r="H12" s="3"/>
      <c r="I12" s="3"/>
      <c r="J12" s="3"/>
      <c r="K12" s="4"/>
    </row>
    <row r="13" spans="1:11" x14ac:dyDescent="0.45">
      <c r="A13" s="73" t="s">
        <v>5</v>
      </c>
      <c r="B13" s="73"/>
      <c r="C13" s="73"/>
      <c r="D13" s="75" t="s">
        <v>21</v>
      </c>
      <c r="E13" s="76"/>
      <c r="F13" s="76"/>
      <c r="G13" s="76"/>
      <c r="H13" s="76"/>
      <c r="I13" s="76"/>
      <c r="J13" s="76"/>
      <c r="K13" s="76"/>
    </row>
    <row r="14" spans="1:11" ht="19" thickBot="1" x14ac:dyDescent="0.5">
      <c r="A14" s="16"/>
      <c r="B14" s="17"/>
      <c r="C14" s="17"/>
      <c r="D14" s="17"/>
      <c r="E14" s="18"/>
      <c r="F14" s="17"/>
      <c r="G14" s="19"/>
      <c r="H14" s="19"/>
      <c r="I14" s="19"/>
      <c r="J14" s="19"/>
      <c r="K14" s="20"/>
    </row>
    <row r="15" spans="1:11" ht="42.75" customHeight="1" x14ac:dyDescent="0.45">
      <c r="A15" s="77" t="s">
        <v>6</v>
      </c>
      <c r="B15" s="77" t="s">
        <v>7</v>
      </c>
      <c r="C15" s="79" t="s">
        <v>37</v>
      </c>
      <c r="D15" s="77" t="s">
        <v>8</v>
      </c>
      <c r="E15" s="80" t="s">
        <v>9</v>
      </c>
      <c r="F15" s="77" t="s">
        <v>25</v>
      </c>
      <c r="G15" s="82" t="s">
        <v>22</v>
      </c>
      <c r="H15" s="82" t="s">
        <v>23</v>
      </c>
      <c r="I15" s="82"/>
      <c r="J15" s="82"/>
      <c r="K15" s="84" t="s">
        <v>38</v>
      </c>
    </row>
    <row r="16" spans="1:11" x14ac:dyDescent="0.45">
      <c r="A16" s="78"/>
      <c r="B16" s="78"/>
      <c r="C16" s="77"/>
      <c r="D16" s="78"/>
      <c r="E16" s="81"/>
      <c r="F16" s="78"/>
      <c r="G16" s="83"/>
      <c r="H16" s="21" t="s">
        <v>10</v>
      </c>
      <c r="I16" s="21" t="s">
        <v>11</v>
      </c>
      <c r="J16" s="21" t="s">
        <v>12</v>
      </c>
      <c r="K16" s="85"/>
    </row>
    <row r="17" spans="1:11" ht="19" thickBot="1" x14ac:dyDescent="0.5">
      <c r="A17" s="22">
        <v>1</v>
      </c>
      <c r="B17" s="23">
        <v>2</v>
      </c>
      <c r="C17" s="23">
        <v>3</v>
      </c>
      <c r="D17" s="23">
        <v>4</v>
      </c>
      <c r="E17" s="23">
        <v>5</v>
      </c>
      <c r="F17" s="23">
        <v>6</v>
      </c>
      <c r="G17" s="23">
        <v>7</v>
      </c>
      <c r="H17" s="23">
        <v>8</v>
      </c>
      <c r="I17" s="23">
        <v>9</v>
      </c>
      <c r="J17" s="23">
        <v>10</v>
      </c>
      <c r="K17" s="23">
        <v>11</v>
      </c>
    </row>
    <row r="18" spans="1:11" x14ac:dyDescent="0.45">
      <c r="A18" s="86" t="s">
        <v>13</v>
      </c>
      <c r="B18" s="87"/>
      <c r="C18" s="87"/>
      <c r="D18" s="87"/>
      <c r="E18" s="87"/>
      <c r="F18" s="87"/>
      <c r="G18" s="87"/>
      <c r="H18" s="87"/>
      <c r="I18" s="87"/>
      <c r="J18" s="87"/>
      <c r="K18" s="88"/>
    </row>
    <row r="19" spans="1:11" ht="91" x14ac:dyDescent="0.45">
      <c r="A19" s="57">
        <v>1</v>
      </c>
      <c r="B19" s="25" t="s">
        <v>60</v>
      </c>
      <c r="C19" s="55" t="s">
        <v>51</v>
      </c>
      <c r="D19" s="26" t="s">
        <v>27</v>
      </c>
      <c r="E19" s="26">
        <v>1000</v>
      </c>
      <c r="F19" s="28" t="s">
        <v>61</v>
      </c>
      <c r="G19" s="29">
        <v>4632</v>
      </c>
      <c r="H19" s="29">
        <v>1.75</v>
      </c>
      <c r="I19" s="26">
        <v>0.5</v>
      </c>
      <c r="J19" s="26">
        <v>1.3</v>
      </c>
      <c r="K19" s="29">
        <f t="shared" ref="K19" si="0">ROUND(E19*G19*H19*I19*J19,2)</f>
        <v>5268900</v>
      </c>
    </row>
    <row r="20" spans="1:11" ht="91" x14ac:dyDescent="0.45">
      <c r="A20" s="57">
        <v>2</v>
      </c>
      <c r="B20" s="25" t="s">
        <v>63</v>
      </c>
      <c r="C20" s="55" t="s">
        <v>51</v>
      </c>
      <c r="D20" s="26" t="s">
        <v>27</v>
      </c>
      <c r="E20" s="26">
        <v>250</v>
      </c>
      <c r="F20" s="28" t="s">
        <v>62</v>
      </c>
      <c r="G20" s="29">
        <v>2796</v>
      </c>
      <c r="H20" s="29">
        <v>1.75</v>
      </c>
      <c r="I20" s="26">
        <v>0.5</v>
      </c>
      <c r="J20" s="26">
        <v>1.3</v>
      </c>
      <c r="K20" s="29">
        <f t="shared" ref="K20" si="1">ROUND(E20*G20*H20*I20*J20,2)</f>
        <v>795112.5</v>
      </c>
    </row>
    <row r="21" spans="1:11" ht="39" x14ac:dyDescent="0.45">
      <c r="A21" s="24">
        <v>3</v>
      </c>
      <c r="B21" s="52" t="s">
        <v>64</v>
      </c>
      <c r="C21" s="55" t="s">
        <v>51</v>
      </c>
      <c r="D21" s="53" t="s">
        <v>36</v>
      </c>
      <c r="E21" s="53">
        <v>10</v>
      </c>
      <c r="F21" s="54" t="s">
        <v>57</v>
      </c>
      <c r="G21" s="38">
        <v>6426</v>
      </c>
      <c r="H21" s="38">
        <v>0.7</v>
      </c>
      <c r="I21" s="53">
        <v>1.3</v>
      </c>
      <c r="J21" s="53">
        <v>1</v>
      </c>
      <c r="K21" s="38">
        <f t="shared" ref="K21:K22" si="2">ROUND(E21*G21*H21*I21*J21,2)</f>
        <v>58476.6</v>
      </c>
    </row>
    <row r="22" spans="1:11" ht="39" x14ac:dyDescent="0.45">
      <c r="A22" s="24">
        <v>4</v>
      </c>
      <c r="B22" s="52" t="s">
        <v>58</v>
      </c>
      <c r="C22" s="55" t="s">
        <v>51</v>
      </c>
      <c r="D22" s="53" t="s">
        <v>36</v>
      </c>
      <c r="E22" s="53">
        <v>10</v>
      </c>
      <c r="F22" s="54" t="s">
        <v>56</v>
      </c>
      <c r="G22" s="38">
        <v>1897</v>
      </c>
      <c r="H22" s="38">
        <v>0.4</v>
      </c>
      <c r="I22" s="53">
        <v>1</v>
      </c>
      <c r="J22" s="53">
        <v>1</v>
      </c>
      <c r="K22" s="38">
        <f t="shared" si="2"/>
        <v>7588</v>
      </c>
    </row>
    <row r="23" spans="1:11" x14ac:dyDescent="0.45">
      <c r="A23" s="30"/>
      <c r="B23" s="31" t="s">
        <v>15</v>
      </c>
      <c r="C23" s="31"/>
      <c r="D23" s="26" t="s">
        <v>14</v>
      </c>
      <c r="E23" s="26" t="s">
        <v>14</v>
      </c>
      <c r="F23" s="26" t="s">
        <v>14</v>
      </c>
      <c r="G23" s="26" t="s">
        <v>14</v>
      </c>
      <c r="H23" s="26" t="s">
        <v>14</v>
      </c>
      <c r="I23" s="26" t="s">
        <v>14</v>
      </c>
      <c r="J23" s="26" t="s">
        <v>14</v>
      </c>
      <c r="K23" s="32">
        <f>ROUND(SUM(K19:K22),2)</f>
        <v>6130077.0999999996</v>
      </c>
    </row>
    <row r="24" spans="1:11" x14ac:dyDescent="0.45">
      <c r="A24" s="72" t="s">
        <v>32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</row>
    <row r="25" spans="1:11" ht="76.5" customHeight="1" x14ac:dyDescent="0.45">
      <c r="A25" s="58">
        <v>5</v>
      </c>
      <c r="B25" s="60" t="s">
        <v>65</v>
      </c>
      <c r="C25" s="60" t="s">
        <v>51</v>
      </c>
      <c r="D25" s="62" t="s">
        <v>27</v>
      </c>
      <c r="E25" s="26">
        <v>1000</v>
      </c>
      <c r="F25" s="28" t="s">
        <v>66</v>
      </c>
      <c r="G25" s="29">
        <v>1938</v>
      </c>
      <c r="H25" s="29">
        <v>1.75</v>
      </c>
      <c r="I25" s="26">
        <v>1.2</v>
      </c>
      <c r="J25" s="26">
        <v>1.3</v>
      </c>
      <c r="K25" s="29">
        <f>ROUND(E25*H26*G25*H25*I25*J25,2)</f>
        <v>2645370</v>
      </c>
    </row>
    <row r="26" spans="1:11" ht="26" x14ac:dyDescent="0.45">
      <c r="A26" s="59"/>
      <c r="B26" s="61"/>
      <c r="C26" s="61"/>
      <c r="D26" s="63"/>
      <c r="E26" s="53"/>
      <c r="F26" s="54" t="s">
        <v>67</v>
      </c>
      <c r="G26" s="38"/>
      <c r="H26" s="38">
        <v>0.5</v>
      </c>
      <c r="I26" s="53"/>
      <c r="J26" s="53"/>
      <c r="K26" s="38"/>
    </row>
    <row r="27" spans="1:11" ht="52.5" customHeight="1" x14ac:dyDescent="0.45">
      <c r="A27" s="58">
        <v>6</v>
      </c>
      <c r="B27" s="60" t="s">
        <v>68</v>
      </c>
      <c r="C27" s="60" t="s">
        <v>51</v>
      </c>
      <c r="D27" s="62" t="s">
        <v>27</v>
      </c>
      <c r="E27" s="26">
        <v>250</v>
      </c>
      <c r="F27" s="28" t="s">
        <v>69</v>
      </c>
      <c r="G27" s="29">
        <v>1288</v>
      </c>
      <c r="H27" s="29">
        <v>1.75</v>
      </c>
      <c r="I27" s="26">
        <v>1.2</v>
      </c>
      <c r="J27" s="26">
        <v>1.3</v>
      </c>
      <c r="K27" s="29">
        <f>ROUND(E27*H28*G27*H27*I27*J27,2)</f>
        <v>439530</v>
      </c>
    </row>
    <row r="28" spans="1:11" ht="44.25" customHeight="1" x14ac:dyDescent="0.45">
      <c r="A28" s="59"/>
      <c r="B28" s="61"/>
      <c r="C28" s="61"/>
      <c r="D28" s="63"/>
      <c r="E28" s="53"/>
      <c r="F28" s="54" t="s">
        <v>67</v>
      </c>
      <c r="G28" s="38"/>
      <c r="H28" s="38">
        <v>0.5</v>
      </c>
      <c r="I28" s="53"/>
      <c r="J28" s="53"/>
      <c r="K28" s="38"/>
    </row>
    <row r="29" spans="1:11" ht="39" x14ac:dyDescent="0.45">
      <c r="A29" s="56">
        <v>7</v>
      </c>
      <c r="B29" s="52" t="s">
        <v>52</v>
      </c>
      <c r="C29" s="55" t="s">
        <v>51</v>
      </c>
      <c r="D29" s="53" t="s">
        <v>36</v>
      </c>
      <c r="E29" s="53">
        <v>10</v>
      </c>
      <c r="F29" s="54" t="s">
        <v>53</v>
      </c>
      <c r="G29" s="38">
        <v>2538</v>
      </c>
      <c r="H29" s="38">
        <v>1</v>
      </c>
      <c r="I29" s="53">
        <v>1</v>
      </c>
      <c r="J29" s="53">
        <v>1</v>
      </c>
      <c r="K29" s="38">
        <f t="shared" ref="K29:K30" si="3">ROUND(E29*G29*H29*I29*J29,2)</f>
        <v>25380</v>
      </c>
    </row>
    <row r="30" spans="1:11" ht="39" x14ac:dyDescent="0.45">
      <c r="A30" s="56">
        <v>8</v>
      </c>
      <c r="B30" s="52" t="s">
        <v>54</v>
      </c>
      <c r="C30" s="55" t="s">
        <v>51</v>
      </c>
      <c r="D30" s="53" t="s">
        <v>36</v>
      </c>
      <c r="E30" s="53">
        <v>10</v>
      </c>
      <c r="F30" s="54" t="s">
        <v>55</v>
      </c>
      <c r="G30" s="38">
        <v>428</v>
      </c>
      <c r="H30" s="38">
        <v>1</v>
      </c>
      <c r="I30" s="53">
        <v>1</v>
      </c>
      <c r="J30" s="53">
        <v>1</v>
      </c>
      <c r="K30" s="38">
        <f t="shared" si="3"/>
        <v>4280</v>
      </c>
    </row>
    <row r="31" spans="1:11" ht="26" x14ac:dyDescent="0.45">
      <c r="A31" s="24">
        <v>9</v>
      </c>
      <c r="B31" s="25" t="s">
        <v>30</v>
      </c>
      <c r="C31" s="25"/>
      <c r="D31" s="26" t="s">
        <v>46</v>
      </c>
      <c r="E31" s="27">
        <v>7</v>
      </c>
      <c r="F31" s="28" t="s">
        <v>31</v>
      </c>
      <c r="G31" s="29">
        <v>480</v>
      </c>
      <c r="H31" s="26">
        <v>1</v>
      </c>
      <c r="I31" s="26">
        <v>1</v>
      </c>
      <c r="J31" s="26">
        <v>1</v>
      </c>
      <c r="K31" s="29">
        <f t="shared" ref="K31:K32" si="4">ROUND(E31*G31*H31*I31*J31,2)</f>
        <v>3360</v>
      </c>
    </row>
    <row r="32" spans="1:11" ht="65" x14ac:dyDescent="0.45">
      <c r="A32" s="24">
        <v>10</v>
      </c>
      <c r="B32" s="25" t="s">
        <v>72</v>
      </c>
      <c r="C32" s="25"/>
      <c r="D32" s="26" t="s">
        <v>70</v>
      </c>
      <c r="E32" s="27">
        <v>135</v>
      </c>
      <c r="F32" s="28" t="s">
        <v>71</v>
      </c>
      <c r="G32" s="29">
        <v>171</v>
      </c>
      <c r="H32" s="26">
        <v>1</v>
      </c>
      <c r="I32" s="26">
        <v>1</v>
      </c>
      <c r="J32" s="26">
        <v>1</v>
      </c>
      <c r="K32" s="29">
        <f t="shared" si="4"/>
        <v>23085</v>
      </c>
    </row>
    <row r="33" spans="1:11" x14ac:dyDescent="0.45">
      <c r="A33" s="33"/>
      <c r="B33" s="31" t="s">
        <v>19</v>
      </c>
      <c r="C33" s="31"/>
      <c r="D33" s="26" t="s">
        <v>14</v>
      </c>
      <c r="E33" s="26" t="s">
        <v>14</v>
      </c>
      <c r="F33" s="26" t="s">
        <v>14</v>
      </c>
      <c r="G33" s="26" t="s">
        <v>14</v>
      </c>
      <c r="H33" s="26" t="s">
        <v>14</v>
      </c>
      <c r="I33" s="26" t="s">
        <v>14</v>
      </c>
      <c r="J33" s="26" t="s">
        <v>14</v>
      </c>
      <c r="K33" s="32">
        <f>ROUND(SUM(K25:K32),2)</f>
        <v>3141005</v>
      </c>
    </row>
    <row r="34" spans="1:11" ht="24.75" customHeight="1" x14ac:dyDescent="0.45">
      <c r="A34" s="71" t="s">
        <v>33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</row>
    <row r="35" spans="1:11" ht="66.75" customHeight="1" x14ac:dyDescent="0.45">
      <c r="A35" s="34"/>
      <c r="B35" s="35" t="s">
        <v>7</v>
      </c>
      <c r="C35" s="66" t="s">
        <v>39</v>
      </c>
      <c r="D35" s="67"/>
      <c r="E35" s="34" t="s">
        <v>40</v>
      </c>
      <c r="F35" s="34" t="s">
        <v>25</v>
      </c>
      <c r="G35" s="68" t="s">
        <v>41</v>
      </c>
      <c r="H35" s="69"/>
      <c r="I35" s="69"/>
      <c r="J35" s="70"/>
      <c r="K35" s="34" t="s">
        <v>42</v>
      </c>
    </row>
    <row r="36" spans="1:11" ht="26" x14ac:dyDescent="0.45">
      <c r="A36" s="24">
        <v>11</v>
      </c>
      <c r="B36" s="25" t="s">
        <v>16</v>
      </c>
      <c r="C36" s="36">
        <v>0</v>
      </c>
      <c r="D36" s="26" t="s">
        <v>29</v>
      </c>
      <c r="E36" s="27">
        <f t="shared" ref="E36" si="5">$K$23</f>
        <v>6130077.0999999996</v>
      </c>
      <c r="F36" s="28" t="s">
        <v>47</v>
      </c>
      <c r="G36" s="26">
        <v>1</v>
      </c>
      <c r="H36" s="37">
        <v>1</v>
      </c>
      <c r="I36" s="37">
        <v>1</v>
      </c>
      <c r="J36" s="37">
        <v>1</v>
      </c>
      <c r="K36" s="29">
        <f t="shared" ref="K36" si="6">ROUND(C36/100*E36*G36*H36*I36*J36,2)</f>
        <v>0</v>
      </c>
    </row>
    <row r="37" spans="1:11" ht="20.25" customHeight="1" x14ac:dyDescent="0.45">
      <c r="A37" s="24">
        <v>12</v>
      </c>
      <c r="B37" s="25" t="s">
        <v>26</v>
      </c>
      <c r="C37" s="36">
        <v>10</v>
      </c>
      <c r="D37" s="26" t="s">
        <v>29</v>
      </c>
      <c r="E37" s="27">
        <f>K23+K33+K36</f>
        <v>9271082.0999999996</v>
      </c>
      <c r="F37" s="28" t="s">
        <v>34</v>
      </c>
      <c r="G37" s="26">
        <v>1</v>
      </c>
      <c r="H37" s="37">
        <v>1</v>
      </c>
      <c r="I37" s="37">
        <v>1</v>
      </c>
      <c r="J37" s="37">
        <v>1</v>
      </c>
      <c r="K37" s="29">
        <f>ROUND((C37/100)*E37*G37*H37*I37*J37,2)</f>
        <v>927108.21</v>
      </c>
    </row>
    <row r="38" spans="1:11" ht="26" x14ac:dyDescent="0.45">
      <c r="A38" s="24">
        <v>13</v>
      </c>
      <c r="B38" s="25" t="s">
        <v>73</v>
      </c>
      <c r="C38" s="36">
        <v>11.25</v>
      </c>
      <c r="D38" s="26" t="s">
        <v>29</v>
      </c>
      <c r="E38" s="27">
        <f>$K$23+K36</f>
        <v>6130077.0999999996</v>
      </c>
      <c r="F38" s="28" t="s">
        <v>74</v>
      </c>
      <c r="G38" s="26">
        <v>1</v>
      </c>
      <c r="H38" s="37">
        <v>1</v>
      </c>
      <c r="I38" s="37">
        <v>1</v>
      </c>
      <c r="J38" s="37">
        <v>1</v>
      </c>
      <c r="K38" s="29">
        <f t="shared" ref="K38:K39" si="7">ROUND(C38/100*E38*G38*H38*I38*J38,2)</f>
        <v>689633.67</v>
      </c>
    </row>
    <row r="39" spans="1:11" ht="26" x14ac:dyDescent="0.45">
      <c r="A39" s="24">
        <v>14</v>
      </c>
      <c r="B39" s="25" t="s">
        <v>75</v>
      </c>
      <c r="C39" s="36">
        <v>36.4</v>
      </c>
      <c r="D39" s="26" t="s">
        <v>29</v>
      </c>
      <c r="E39" s="27">
        <f>$K$23+K38+K36</f>
        <v>6819710.7699999996</v>
      </c>
      <c r="F39" s="28" t="s">
        <v>76</v>
      </c>
      <c r="G39" s="26">
        <v>1</v>
      </c>
      <c r="H39" s="37">
        <v>1</v>
      </c>
      <c r="I39" s="37">
        <v>1</v>
      </c>
      <c r="J39" s="37">
        <v>1</v>
      </c>
      <c r="K39" s="29">
        <f t="shared" si="7"/>
        <v>2482374.7200000002</v>
      </c>
    </row>
    <row r="40" spans="1:11" ht="26" x14ac:dyDescent="0.45">
      <c r="A40" s="24">
        <v>15</v>
      </c>
      <c r="B40" s="25" t="s">
        <v>17</v>
      </c>
      <c r="C40" s="36">
        <v>6</v>
      </c>
      <c r="D40" s="26" t="s">
        <v>29</v>
      </c>
      <c r="E40" s="27">
        <f>$K$23+K38+K36</f>
        <v>6819710.7699999996</v>
      </c>
      <c r="F40" s="28" t="s">
        <v>43</v>
      </c>
      <c r="G40" s="26">
        <v>1</v>
      </c>
      <c r="H40" s="37">
        <v>1</v>
      </c>
      <c r="I40" s="37">
        <v>1</v>
      </c>
      <c r="J40" s="37">
        <v>1</v>
      </c>
      <c r="K40" s="29">
        <f>ROUND(C40/100*E40*G40*H40*I40*J40,2)</f>
        <v>409182.65</v>
      </c>
    </row>
    <row r="41" spans="1:11" x14ac:dyDescent="0.45">
      <c r="A41" s="24">
        <v>16</v>
      </c>
      <c r="B41" s="25" t="s">
        <v>77</v>
      </c>
      <c r="C41" s="36">
        <v>25</v>
      </c>
      <c r="D41" s="26" t="s">
        <v>29</v>
      </c>
      <c r="E41" s="27">
        <f>$K$23+K33+K36</f>
        <v>9271082.0999999996</v>
      </c>
      <c r="F41" s="28" t="s">
        <v>78</v>
      </c>
      <c r="G41" s="26">
        <v>1</v>
      </c>
      <c r="H41" s="37">
        <v>1</v>
      </c>
      <c r="I41" s="37">
        <v>1</v>
      </c>
      <c r="J41" s="37">
        <v>1</v>
      </c>
      <c r="K41" s="29">
        <f t="shared" ref="K41" si="8">ROUND(C41/100*E41*G41*H41*I41*J41,2)</f>
        <v>2317770.5299999998</v>
      </c>
    </row>
    <row r="42" spans="1:11" x14ac:dyDescent="0.45">
      <c r="A42" s="30">
        <v>17</v>
      </c>
      <c r="B42" s="31" t="s">
        <v>18</v>
      </c>
      <c r="C42" s="31"/>
      <c r="D42" s="26" t="s">
        <v>14</v>
      </c>
      <c r="E42" s="26" t="s">
        <v>14</v>
      </c>
      <c r="F42" s="26" t="s">
        <v>14</v>
      </c>
      <c r="G42" s="26" t="s">
        <v>14</v>
      </c>
      <c r="H42" s="26" t="s">
        <v>14</v>
      </c>
      <c r="I42" s="26" t="s">
        <v>14</v>
      </c>
      <c r="J42" s="26" t="s">
        <v>14</v>
      </c>
      <c r="K42" s="32">
        <f>ROUND(SUM(K36:K41),2)</f>
        <v>6826069.7800000003</v>
      </c>
    </row>
    <row r="43" spans="1:11" x14ac:dyDescent="0.45">
      <c r="A43" s="30">
        <v>18</v>
      </c>
      <c r="B43" s="31" t="s">
        <v>28</v>
      </c>
      <c r="C43" s="31"/>
      <c r="D43" s="26" t="s">
        <v>14</v>
      </c>
      <c r="E43" s="26" t="s">
        <v>14</v>
      </c>
      <c r="F43" s="39" t="s">
        <v>14</v>
      </c>
      <c r="G43" s="26" t="s">
        <v>14</v>
      </c>
      <c r="H43" s="26" t="s">
        <v>14</v>
      </c>
      <c r="I43" s="26" t="s">
        <v>14</v>
      </c>
      <c r="J43" s="26" t="s">
        <v>14</v>
      </c>
      <c r="K43" s="32">
        <f>ROUND(K23+K33+K42,2)</f>
        <v>16097151.880000001</v>
      </c>
    </row>
    <row r="44" spans="1:11" ht="91" x14ac:dyDescent="0.45">
      <c r="A44" s="30">
        <v>19</v>
      </c>
      <c r="B44" s="40" t="s">
        <v>35</v>
      </c>
      <c r="C44" s="40"/>
      <c r="D44" s="41" t="s">
        <v>14</v>
      </c>
      <c r="E44" s="41" t="s">
        <v>14</v>
      </c>
      <c r="F44" s="39" t="s">
        <v>59</v>
      </c>
      <c r="G44" s="41" t="s">
        <v>14</v>
      </c>
      <c r="H44" s="42">
        <v>6.54</v>
      </c>
      <c r="I44" s="43">
        <v>1</v>
      </c>
      <c r="J44" s="41" t="s">
        <v>14</v>
      </c>
      <c r="K44" s="44">
        <f>ROUND(H44*K43,2)</f>
        <v>105275373.3</v>
      </c>
    </row>
    <row r="45" spans="1:11" ht="26" x14ac:dyDescent="0.45">
      <c r="A45" s="30">
        <v>20</v>
      </c>
      <c r="B45" s="45" t="s">
        <v>49</v>
      </c>
      <c r="C45" s="45"/>
      <c r="D45" s="38"/>
      <c r="E45" s="46"/>
      <c r="F45" s="47"/>
      <c r="G45" s="38"/>
      <c r="H45" s="38">
        <v>1</v>
      </c>
      <c r="I45" s="38"/>
      <c r="J45" s="38"/>
      <c r="K45" s="44">
        <f>H45*K44</f>
        <v>105275373.3</v>
      </c>
    </row>
    <row r="46" spans="1:11" x14ac:dyDescent="0.45">
      <c r="A46" s="48"/>
      <c r="B46" s="13"/>
      <c r="C46" s="13"/>
      <c r="D46" s="64"/>
      <c r="E46" s="64"/>
      <c r="F46" s="14" t="s">
        <v>44</v>
      </c>
      <c r="G46" s="49"/>
      <c r="H46" s="49"/>
      <c r="I46" s="49"/>
      <c r="J46" s="49"/>
      <c r="K46" s="50"/>
    </row>
    <row r="47" spans="1:11" x14ac:dyDescent="0.45">
      <c r="B47" s="13"/>
      <c r="C47" s="13"/>
      <c r="D47" s="65"/>
      <c r="E47" s="65"/>
    </row>
    <row r="48" spans="1:11" ht="29.25" customHeight="1" x14ac:dyDescent="0.45">
      <c r="B48" s="13"/>
      <c r="C48" s="13"/>
      <c r="D48" s="65"/>
      <c r="E48" s="65"/>
      <c r="F48" s="14" t="s">
        <v>45</v>
      </c>
    </row>
    <row r="49" spans="2:11" ht="56.25" customHeight="1" x14ac:dyDescent="0.45">
      <c r="B49" s="64" t="s">
        <v>50</v>
      </c>
      <c r="C49" s="64"/>
      <c r="D49" s="64"/>
      <c r="E49" s="64"/>
      <c r="F49" s="64"/>
      <c r="G49" s="64"/>
      <c r="H49" s="64"/>
      <c r="I49" s="64"/>
      <c r="J49" s="64"/>
      <c r="K49" s="64"/>
    </row>
    <row r="50" spans="2:11" ht="28.5" customHeight="1" x14ac:dyDescent="0.45">
      <c r="B50" s="51"/>
      <c r="C50" s="51"/>
      <c r="D50" s="65"/>
      <c r="E50" s="65"/>
    </row>
    <row r="51" spans="2:11" ht="30" customHeight="1" x14ac:dyDescent="0.45">
      <c r="B51" s="13"/>
      <c r="C51" s="13"/>
      <c r="D51" s="65"/>
      <c r="E51" s="65"/>
    </row>
  </sheetData>
  <mergeCells count="39">
    <mergeCell ref="A9:C9"/>
    <mergeCell ref="D9:K9"/>
    <mergeCell ref="A2:K2"/>
    <mergeCell ref="A3:K3"/>
    <mergeCell ref="D5:H5"/>
    <mergeCell ref="A7:C7"/>
    <mergeCell ref="D7:K7"/>
    <mergeCell ref="A34:K34"/>
    <mergeCell ref="A11:C11"/>
    <mergeCell ref="D11:K11"/>
    <mergeCell ref="A13:C13"/>
    <mergeCell ref="D13:K13"/>
    <mergeCell ref="A15:A16"/>
    <mergeCell ref="B15:B16"/>
    <mergeCell ref="C15:C16"/>
    <mergeCell ref="D15:D16"/>
    <mergeCell ref="E15:E16"/>
    <mergeCell ref="F15:F16"/>
    <mergeCell ref="G15:G16"/>
    <mergeCell ref="H15:J15"/>
    <mergeCell ref="K15:K16"/>
    <mergeCell ref="A18:K18"/>
    <mergeCell ref="A24:K24"/>
    <mergeCell ref="B49:K49"/>
    <mergeCell ref="D50:E50"/>
    <mergeCell ref="D51:E51"/>
    <mergeCell ref="C35:D35"/>
    <mergeCell ref="G35:J35"/>
    <mergeCell ref="D46:E46"/>
    <mergeCell ref="D47:E47"/>
    <mergeCell ref="D48:E48"/>
    <mergeCell ref="A25:A26"/>
    <mergeCell ref="B25:B26"/>
    <mergeCell ref="C25:C26"/>
    <mergeCell ref="D25:D26"/>
    <mergeCell ref="A27:A28"/>
    <mergeCell ref="B27:B28"/>
    <mergeCell ref="C27:C28"/>
    <mergeCell ref="D27:D28"/>
  </mergeCells>
  <conditionalFormatting sqref="A22 A31:A32 A37:A40">
    <cfRule type="expression" dxfId="5" priority="25" stopIfTrue="1">
      <formula>IF(#REF!="К",8,)</formula>
    </cfRule>
  </conditionalFormatting>
  <conditionalFormatting sqref="A21">
    <cfRule type="expression" dxfId="4" priority="9" stopIfTrue="1">
      <formula>IF(#REF!="К",8,)</formula>
    </cfRule>
  </conditionalFormatting>
  <conditionalFormatting sqref="A19">
    <cfRule type="expression" dxfId="3" priority="5" stopIfTrue="1">
      <formula>IF(#REF!="К",8,)</formula>
    </cfRule>
  </conditionalFormatting>
  <conditionalFormatting sqref="A36">
    <cfRule type="expression" dxfId="2" priority="4" stopIfTrue="1">
      <formula>IF(#REF!="К",8,)</formula>
    </cfRule>
  </conditionalFormatting>
  <conditionalFormatting sqref="A41">
    <cfRule type="expression" dxfId="1" priority="3" stopIfTrue="1">
      <formula>IF(#REF!="К",8,)</formula>
    </cfRule>
  </conditionalFormatting>
  <conditionalFormatting sqref="A20">
    <cfRule type="expression" dxfId="0" priority="1" stopIfTrue="1">
      <formula>IF(#REF!="К",8,)</formula>
    </cfRule>
  </conditionalFormatting>
  <pageMargins left="0.7" right="0.7" top="0.75" bottom="0.75" header="0.3" footer="0.3"/>
  <pageSetup paperSize="9" scale="58" orientation="portrait" horizontalDpi="300" r:id="rId1"/>
  <rowBreaks count="1" manualBreakCount="1">
    <brk id="48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532639d-57fc-49fd-84ba-dbf32f04bf8a">
      <UserInfo>
        <DisplayName>Куздобенко Виктория Александровна</DisplayName>
        <AccountId>5511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CB64B838FC8304498448B48E5F9CC34" ma:contentTypeVersion="2" ma:contentTypeDescription="Создание документа." ma:contentTypeScope="" ma:versionID="7481c22d1b8bee3a381719a328c1707f">
  <xsd:schema xmlns:xsd="http://www.w3.org/2001/XMLSchema" xmlns:xs="http://www.w3.org/2001/XMLSchema" xmlns:p="http://schemas.microsoft.com/office/2006/metadata/properties" xmlns:ns2="7532639d-57fc-49fd-84ba-dbf32f04bf8a" targetNamespace="http://schemas.microsoft.com/office/2006/metadata/properties" ma:root="true" ma:fieldsID="3d29d91f2ff50a899256079028f2427b" ns2:_="">
    <xsd:import namespace="7532639d-57fc-49fd-84ba-dbf32f04bf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2639d-57fc-49fd-84ba-dbf32f04b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13BCB4-3800-477E-A2C2-FE82B3D77D72}">
  <ds:schemaRefs>
    <ds:schemaRef ds:uri="http://www.w3.org/XML/1998/namespace"/>
    <ds:schemaRef ds:uri="http://schemas.microsoft.com/office/infopath/2007/PartnerControls"/>
    <ds:schemaRef ds:uri="7532639d-57fc-49fd-84ba-dbf32f04bf8a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EB71CC8-873B-4AB0-97F3-2607C0512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7CDC8D-C2C9-4859-A633-4AD80D6C7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2639d-57fc-49fd-84ba-dbf32f04b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№1 ИГДИ</vt:lpstr>
      <vt:lpstr>'№1 ИГДИ'!Область_печати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Кузиков Анатолий Анатольевич</dc:creator>
  <cp:lastModifiedBy>Ксения Кузнецова</cp:lastModifiedBy>
  <dcterms:created xsi:type="dcterms:W3CDTF">2020-10-21T14:54:31Z</dcterms:created>
  <dcterms:modified xsi:type="dcterms:W3CDTF">2026-02-04T05:12:26Z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0x010100CCB64B838FC8304498448B48E5F9CC34</vt:lpwstr>
  </property>
  <property fmtid="{D5CDD505-2E9C-101B-9397-08002B2CF9AE}" pid="3" name="_dlc_DocIdItemGuid">
    <vt:lpwstr>0a6eaa06-a8d2-4504-b3f1-ea4a727bbf5b</vt:lpwstr>
  </property>
</Properties>
</file>