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eniya.kuznetsova\Desktop\Сметы_для\"/>
    </mc:Choice>
  </mc:AlternateContent>
  <bookViews>
    <workbookView xWindow="0" yWindow="0" windowWidth="38400" windowHeight="17850" tabRatio="930"/>
  </bookViews>
  <sheets>
    <sheet name="Смета №1 ИГДИ" sheetId="8" r:id="rId1"/>
  </sheets>
  <definedNames>
    <definedName name="n_1">{"","одинz","дваz","триz","четыреz","пятьz","шестьz","семьz","восемьz","девятьz"}</definedName>
    <definedName name="n_2">{"десятьz","одиннадцатьz","двенадцатьz","тринадцатьz","четырнадцатьz","пятнадцатьz","шестнадцатьz","семнадцатьz","восемнадцатьz","девятнадцатьz"}</definedName>
    <definedName name="n_3">{"";1;"двадцатьz";"тридцатьz";"сорокz";"пятьдесятz";"шестьдесятz";"семьдесятz";"восемьдесятz";"девяностоz"}</definedName>
    <definedName name="n_4">{"","стоz","двестиz","тристаz","четырестаz","пятьсотz","шестьсотz","семьсотz","восемьсотz","девятьсотz"}</definedName>
    <definedName name="n_5">{"","однаz","двеz","триz","четыреz","пятьz","шестьz","семьz","восемьz","девятьz"}</definedName>
    <definedName name="n0">"000000000000"&amp;MID(1/2,2,1)&amp;"00"</definedName>
    <definedName name="n0x">IF(n_3=1,n_2,n_3&amp;n_1)</definedName>
    <definedName name="n1x">IF(n_3=1,n_2,n_3&amp;n_5)</definedName>
    <definedName name="мил">{0,"овz";1,"z";2,"аz";5,"овz"}</definedName>
    <definedName name="тыс">{0,"тысячz";1,"тысячаz";2,"тысячиz";5,"тысячz"}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8" l="1"/>
  <c r="A42" i="8"/>
  <c r="K37" i="8"/>
  <c r="K36" i="8"/>
  <c r="K35" i="8"/>
  <c r="K34" i="8"/>
  <c r="K33" i="8"/>
  <c r="K32" i="8"/>
  <c r="K31" i="8"/>
  <c r="E31" i="8"/>
  <c r="E30" i="8"/>
  <c r="K30" i="8" s="1"/>
  <c r="K27" i="8"/>
  <c r="K26" i="8"/>
  <c r="K25" i="8"/>
  <c r="K24" i="8"/>
  <c r="K23" i="8"/>
  <c r="K22" i="8"/>
  <c r="K21" i="8"/>
  <c r="K20" i="8"/>
  <c r="K19" i="8"/>
  <c r="K38" i="8" l="1"/>
  <c r="K28" i="8"/>
  <c r="E42" i="8" s="1"/>
  <c r="K42" i="8" s="1"/>
  <c r="E41" i="8" l="1"/>
  <c r="K41" i="8" s="1"/>
  <c r="E43" i="8"/>
  <c r="K43" i="8" s="1"/>
  <c r="E44" i="8" s="1"/>
  <c r="K44" i="8" s="1"/>
  <c r="E45" i="8" l="1"/>
  <c r="K45" i="8" s="1"/>
  <c r="K46" i="8" s="1"/>
  <c r="K47" i="8" s="1"/>
  <c r="K48" i="8" s="1"/>
  <c r="K49" i="8" s="1"/>
</calcChain>
</file>

<file path=xl/sharedStrings.xml><?xml version="1.0" encoding="utf-8"?>
<sst xmlns="http://schemas.openxmlformats.org/spreadsheetml/2006/main" count="138" uniqueCount="82">
  <si>
    <t>Инженерно-геодезические изыскания</t>
  </si>
  <si>
    <t>на   изыскательские  работы</t>
  </si>
  <si>
    <t>(вид изыскательских работ)</t>
  </si>
  <si>
    <t>Наименование строительства и стадии проектирования:</t>
  </si>
  <si>
    <t>Наименование организации подрядчика:</t>
  </si>
  <si>
    <t>Наименование организации заказчика:</t>
  </si>
  <si>
    <t>СМЕТА № 1</t>
  </si>
  <si>
    <t>Смета составлена по следующим документам:</t>
  </si>
  <si>
    <t>СБЦ на ИГДИ для строительства, 2004 г.</t>
  </si>
  <si>
    <t>№
п/п</t>
  </si>
  <si>
    <t>Наименование работ и затрат</t>
  </si>
  <si>
    <t>Катег. сл-ти</t>
  </si>
  <si>
    <t>Единица изме-рения</t>
  </si>
  <si>
    <t>Кол-во
(физ. объём)</t>
  </si>
  <si>
    <t>Обоснование стоимости (цена и коэф-ты)</t>
  </si>
  <si>
    <t>Цена</t>
  </si>
  <si>
    <t>Расчёт стоимости /коэф-ты к цене</t>
  </si>
  <si>
    <t>Стоимость,
руб., коп. без НДС</t>
  </si>
  <si>
    <t>К1</t>
  </si>
  <si>
    <t>К2</t>
  </si>
  <si>
    <t>К3</t>
  </si>
  <si>
    <t>1. Полевые работы</t>
  </si>
  <si>
    <t>Создание плановой опорной геодезической сети; 2 разряд, IIкат.</t>
  </si>
  <si>
    <t>пункт</t>
  </si>
  <si>
    <t xml:space="preserve">т. 8, п. 3, прим.1,2 </t>
  </si>
  <si>
    <t>Создание временной плановой опорной геодезической сети (без закрепления центра); 2 разряд, IIкат.</t>
  </si>
  <si>
    <t>Создание высотной опорной геодезической сети; IV класс, IIкат.</t>
  </si>
  <si>
    <t>т. 8, п. 4, прим. 1</t>
  </si>
  <si>
    <t>Создание временной высотной опорной геодезической сети (без закрепления центра); IV класс, IIкат.</t>
  </si>
  <si>
    <t xml:space="preserve">Обновление инженерно-топографического плана м-ба 1:2000, сечение рельефа 0,5 (съемка подземных коммуникаций, составление эскизов опор ВЛ) незастроенная территория, IIкат. </t>
  </si>
  <si>
    <t>га</t>
  </si>
  <si>
    <t>т. 9, п. 17, прим.3,4,5</t>
  </si>
  <si>
    <t xml:space="preserve">Создание инженерно-топографического плана м-ба 1:2000, сечение рельефа 0,5 (съемка подземных коммуникаций, составление эскизов опор ВЛ) незастроенная территория, IIкат. </t>
  </si>
  <si>
    <t>т. 9, п. 17, прим.4,5</t>
  </si>
  <si>
    <t xml:space="preserve">Создание инженерно-топографического плана м-ба 1:1000, сечение рельефа 0,5 (съемка подземных коммуникаций, составление эскизов опор ВЛ) незастроенная территория, IIкат. </t>
  </si>
  <si>
    <t>т. 9, п. 11,  прим.4,5</t>
  </si>
  <si>
    <t xml:space="preserve">Создание инженерно-топографического плана м-ба 1:500 сечение рельефа 0,5 (съемка подземных коммуникаций, составление эскизов опор ВЛ) действующее пром предприятие, Ш кат. </t>
  </si>
  <si>
    <t>т. 9, п. 5,  прим.4</t>
  </si>
  <si>
    <t>Плановая и высотная привязка геологических выработок, IIкат.</t>
  </si>
  <si>
    <t>точка</t>
  </si>
  <si>
    <t>т. 48 п. 1</t>
  </si>
  <si>
    <t>Итого полевых работ:</t>
  </si>
  <si>
    <t>-</t>
  </si>
  <si>
    <t>2. Камеральные работы</t>
  </si>
  <si>
    <t>т. 8, п. 4</t>
  </si>
  <si>
    <t>Обновление инженерно-топографического плана м-ба 1:2000, сечение рельефа 0,5 (съемка подземных коммуникаций) незастроенная территория, IIкат. (составление плана в цвете с применением компьютерных технологий)</t>
  </si>
  <si>
    <t>т. 9, п. 17, прим.3,4, ОУ 15г, 15д</t>
  </si>
  <si>
    <t>Создание инженерно-топографического плана м-ба 1:2000, сечение рельефа 0,5 (съемка подземных коммуникаций) незастроенная территория, IIкат. (составление плана в цвете с применением компьютерных технологий)</t>
  </si>
  <si>
    <t>т. 9, п. 17, прим.4, ОУ 15г, 15д</t>
  </si>
  <si>
    <t>Создание инженерно-топографического плана м-ба 1:1000, сечение рельефа 0,5 (съемка подземных коммуникаций) незастроенная территория, IIкат. (составление плана в цвете с применением компьютерных технологий)</t>
  </si>
  <si>
    <t>т. 9, п. 11,  прим.4, ОУ 15г, 15д</t>
  </si>
  <si>
    <t>Создание инженерно-топографического плана м-ба 1:500 сечение рельефа 0,5 (съемка подземных коммуникаций) действующая пром предприятие, 3 кат (составление плана в цвете с применением компьютерных технологий)</t>
  </si>
  <si>
    <t>т. 9, п. 5,  прим.4, ОУ 15г, 15д</t>
  </si>
  <si>
    <t>Стоимость проверки полноты планов в эксплуатирующих организациях</t>
  </si>
  <si>
    <t>служба</t>
  </si>
  <si>
    <t>т. 75, прим. 3</t>
  </si>
  <si>
    <t>Выдача координат и высот исходных пунктов</t>
  </si>
  <si>
    <t>т.81, п. 2, п. 3</t>
  </si>
  <si>
    <t>Итого камеральных работ:</t>
  </si>
  <si>
    <t>Процент</t>
  </si>
  <si>
    <t>Стоимость работ, без НДС</t>
  </si>
  <si>
    <t>Расчёт стоимости /
коэф-ты к цене</t>
  </si>
  <si>
    <t>Стоимость прочих расходов, без НДС</t>
  </si>
  <si>
    <t>Удорожание полевых работ за счет сезонного коэффициента</t>
  </si>
  <si>
    <t>%</t>
  </si>
  <si>
    <t>т. 2, п. 2 ОУ</t>
  </si>
  <si>
    <t>Удорожание полевых работ за счет районного коэффициента</t>
  </si>
  <si>
    <t>т. 3, п. 2 д ОУ</t>
  </si>
  <si>
    <t>т. 4, п. 8</t>
  </si>
  <si>
    <t>Расходы на организацию и ликвидацию полевых работ</t>
  </si>
  <si>
    <t>п.13 ОУ</t>
  </si>
  <si>
    <t>Итого прочих расходов:</t>
  </si>
  <si>
    <t>Всего по смете в ценах СБЦ на 2001 г.</t>
  </si>
  <si>
    <t>Итого по смете, с учетом индекса  изменения сметной стоимости изыскательских работ</t>
  </si>
  <si>
    <t>ВСЕГО по смете с учетом договорного коэффициента</t>
  </si>
  <si>
    <t>ООО "ИТПИ"</t>
  </si>
  <si>
    <t>Проектная документация</t>
  </si>
  <si>
    <r>
      <t xml:space="preserve">3. Прочие расходы
</t>
    </r>
    <r>
      <rPr>
        <sz val="10"/>
        <rFont val="Arial"/>
        <family val="2"/>
        <charset val="204"/>
      </rPr>
      <t>(применяются к полевым и выполняемым в экспедиционных условиях камеральным работам)</t>
    </r>
  </si>
  <si>
    <t>Расходы по внешнему транспорту (расстояние проезда - свыше 2000 км, продолжительность экспедиции 2 мес).</t>
  </si>
  <si>
    <t>т. 5 п. 6</t>
  </si>
  <si>
    <t>Расходы по внутреннему транспорту (Расстояние от базы - до 5 км)</t>
  </si>
  <si>
    <t>Письмо Минстроя России от 14.10.2025 N 61339-ИФ/09 на 4 кв.2025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</si>
</sst>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0.0"/>
    <numFmt numFmtId="171" formatCode="_-* #,##0.00_р_._-;\-* #,##0.00_р_._-;_-* &quot;-&quot;??_р_._-;_-@_-"/>
  </numFmts>
  <fonts count="20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Courier"/>
      <family val="3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  <charset val="204"/>
    </font>
    <font>
      <b/>
      <sz val="11"/>
      <name val="Arial"/>
      <family val="2"/>
      <charset val="204"/>
    </font>
    <font>
      <b/>
      <i/>
      <sz val="10"/>
      <name val="Arial"/>
      <family val="2"/>
      <charset val="204"/>
    </font>
    <font>
      <b/>
      <i/>
      <sz val="11"/>
      <name val="Arial"/>
      <family val="2"/>
      <charset val="204"/>
    </font>
    <font>
      <sz val="10"/>
      <color theme="0"/>
      <name val="Arial"/>
      <family val="2"/>
      <charset val="204"/>
    </font>
    <font>
      <sz val="11"/>
      <color theme="1"/>
      <name val="Arial"/>
      <family val="2"/>
      <charset val="204"/>
    </font>
    <font>
      <sz val="8"/>
      <color indexed="8"/>
      <name val="Arial"/>
      <family val="2"/>
      <charset val="204"/>
    </font>
    <font>
      <sz val="10"/>
      <name val="NTTimes/Cyrillic"/>
    </font>
    <font>
      <sz val="12"/>
      <name val="Times New Roman"/>
      <family val="1"/>
      <charset val="204"/>
    </font>
    <font>
      <sz val="8"/>
      <color rgb="FF000000"/>
      <name val="Arial"/>
      <family val="2"/>
      <charset val="204"/>
    </font>
    <font>
      <sz val="11"/>
      <name val="Times New Roman Cyr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2">
    <xf numFmtId="0" fontId="0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6" fillId="0" borderId="0">
      <alignment horizontal="center" vertical="center"/>
    </xf>
    <xf numFmtId="0" fontId="6" fillId="0" borderId="0">
      <alignment horizontal="left" vertical="center"/>
    </xf>
    <xf numFmtId="0" fontId="15" fillId="5" borderId="0">
      <alignment horizontal="center" vertical="center"/>
    </xf>
    <xf numFmtId="171" fontId="16" fillId="0" borderId="0" applyFont="0" applyFill="0" applyBorder="0" applyAlignment="0" applyProtection="0"/>
    <xf numFmtId="0" fontId="16" fillId="0" borderId="0"/>
    <xf numFmtId="0" fontId="15" fillId="5" borderId="0">
      <alignment horizontal="center" vertical="top"/>
    </xf>
    <xf numFmtId="0" fontId="15" fillId="5" borderId="0">
      <alignment horizontal="left" vertical="top"/>
    </xf>
    <xf numFmtId="0" fontId="17" fillId="0" borderId="0"/>
    <xf numFmtId="0" fontId="18" fillId="0" borderId="0">
      <alignment horizontal="center" vertical="center"/>
    </xf>
    <xf numFmtId="0" fontId="19" fillId="0" borderId="0"/>
    <xf numFmtId="0" fontId="1" fillId="0" borderId="0"/>
    <xf numFmtId="0" fontId="2" fillId="0" borderId="0"/>
    <xf numFmtId="0" fontId="15" fillId="5" borderId="0">
      <alignment horizontal="right"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/>
  </cellStyleXfs>
  <cellXfs count="85">
    <xf numFmtId="0" fontId="0" fillId="0" borderId="0" xfId="0"/>
    <xf numFmtId="49" fontId="4" fillId="0" borderId="0" xfId="0" applyNumberFormat="1" applyFont="1" applyAlignment="1">
      <alignment wrapText="1"/>
    </xf>
    <xf numFmtId="49" fontId="4" fillId="0" borderId="0" xfId="0" applyNumberFormat="1" applyFont="1" applyAlignment="1">
      <alignment vertical="top" wrapText="1"/>
    </xf>
    <xf numFmtId="0" fontId="11" fillId="0" borderId="0" xfId="2" applyFont="1" applyAlignment="1" applyProtection="1">
      <alignment horizontal="left"/>
      <protection locked="0"/>
    </xf>
    <xf numFmtId="0" fontId="11" fillId="0" borderId="0" xfId="2" applyFont="1"/>
    <xf numFmtId="0" fontId="4" fillId="0" borderId="0" xfId="2" applyFont="1"/>
    <xf numFmtId="2" fontId="4" fillId="0" borderId="0" xfId="2" applyNumberFormat="1" applyFont="1"/>
    <xf numFmtId="168" fontId="7" fillId="2" borderId="7" xfId="4" applyNumberFormat="1" applyFont="1" applyFill="1" applyBorder="1" applyAlignment="1">
      <alignment horizontal="center" vertical="center" wrapText="1"/>
    </xf>
    <xf numFmtId="0" fontId="7" fillId="2" borderId="2" xfId="4" applyFont="1" applyFill="1" applyBorder="1" applyAlignment="1">
      <alignment horizontal="center" vertical="center"/>
    </xf>
    <xf numFmtId="0" fontId="7" fillId="2" borderId="4" xfId="4" applyFont="1" applyFill="1" applyBorder="1" applyAlignment="1">
      <alignment horizontal="center" vertical="center"/>
    </xf>
    <xf numFmtId="0" fontId="4" fillId="0" borderId="7" xfId="4" applyFont="1" applyBorder="1" applyAlignment="1" applyProtection="1">
      <alignment horizontal="center" vertical="center"/>
      <protection hidden="1"/>
    </xf>
    <xf numFmtId="0" fontId="4" fillId="0" borderId="7" xfId="3" quotePrefix="1" applyFont="1" applyBorder="1" applyAlignment="1">
      <alignment horizontal="left" vertical="center" wrapText="1"/>
    </xf>
    <xf numFmtId="2" fontId="4" fillId="0" borderId="7" xfId="3" applyNumberFormat="1" applyFont="1" applyBorder="1" applyAlignment="1">
      <alignment horizontal="center" vertical="center"/>
    </xf>
    <xf numFmtId="2" fontId="13" fillId="0" borderId="7" xfId="3" applyNumberFormat="1" applyFont="1" applyBorder="1" applyAlignment="1">
      <alignment horizontal="center" vertical="center"/>
    </xf>
    <xf numFmtId="2" fontId="4" fillId="0" borderId="7" xfId="5" applyNumberFormat="1" applyFont="1" applyBorder="1" applyAlignment="1">
      <alignment horizontal="center" vertical="center"/>
    </xf>
    <xf numFmtId="0" fontId="4" fillId="0" borderId="7" xfId="5" applyFont="1" applyBorder="1" applyAlignment="1">
      <alignment horizontal="left" vertical="center"/>
    </xf>
    <xf numFmtId="0" fontId="7" fillId="0" borderId="7" xfId="3" applyFont="1" applyBorder="1" applyAlignment="1" applyProtection="1">
      <alignment horizontal="center" vertical="center"/>
      <protection hidden="1"/>
    </xf>
    <xf numFmtId="0" fontId="7" fillId="0" borderId="7" xfId="3" applyFont="1" applyBorder="1" applyAlignment="1">
      <alignment horizontal="left" vertical="center"/>
    </xf>
    <xf numFmtId="2" fontId="7" fillId="0" borderId="7" xfId="5" applyNumberFormat="1" applyFont="1" applyBorder="1" applyAlignment="1">
      <alignment horizontal="center" vertical="center"/>
    </xf>
    <xf numFmtId="0" fontId="11" fillId="3" borderId="7" xfId="3" applyFont="1" applyFill="1" applyBorder="1" applyAlignment="1" applyProtection="1">
      <alignment horizontal="center" vertical="center"/>
      <protection hidden="1"/>
    </xf>
    <xf numFmtId="1" fontId="4" fillId="0" borderId="7" xfId="3" applyNumberFormat="1" applyFont="1" applyBorder="1" applyAlignment="1">
      <alignment horizontal="center" vertical="center"/>
    </xf>
    <xf numFmtId="1" fontId="4" fillId="0" borderId="7" xfId="5" applyNumberFormat="1" applyFont="1" applyBorder="1" applyAlignment="1">
      <alignment horizontal="center" vertical="center"/>
    </xf>
    <xf numFmtId="0" fontId="7" fillId="0" borderId="7" xfId="5" applyFont="1" applyBorder="1" applyAlignment="1">
      <alignment horizontal="left" vertical="center" wrapText="1"/>
    </xf>
    <xf numFmtId="0" fontId="9" fillId="0" borderId="7" xfId="5" applyFont="1" applyBorder="1" applyAlignment="1">
      <alignment horizontal="left" vertical="center" wrapText="1"/>
    </xf>
    <xf numFmtId="0" fontId="4" fillId="0" borderId="7" xfId="3" applyFont="1" applyBorder="1" applyAlignment="1" applyProtection="1">
      <alignment horizontal="center" vertical="center"/>
      <protection hidden="1"/>
    </xf>
    <xf numFmtId="0" fontId="7" fillId="0" borderId="7" xfId="3" applyFont="1" applyBorder="1" applyAlignment="1">
      <alignment horizontal="left" vertical="center" wrapText="1"/>
    </xf>
    <xf numFmtId="4" fontId="7" fillId="0" borderId="7" xfId="5" applyNumberFormat="1" applyFont="1" applyBorder="1" applyAlignment="1">
      <alignment horizontal="center" vertical="center"/>
    </xf>
    <xf numFmtId="0" fontId="7" fillId="0" borderId="0" xfId="5" applyFont="1" applyAlignment="1" applyProtection="1">
      <alignment horizontal="center" vertical="center"/>
      <protection hidden="1"/>
    </xf>
    <xf numFmtId="0" fontId="14" fillId="0" borderId="0" xfId="0" applyFont="1"/>
    <xf numFmtId="0" fontId="4" fillId="0" borderId="0" xfId="4" applyFont="1" applyAlignment="1">
      <alignment vertical="top"/>
    </xf>
    <xf numFmtId="0" fontId="8" fillId="0" borderId="0" xfId="2" applyFont="1" applyProtection="1">
      <protection locked="0"/>
    </xf>
    <xf numFmtId="0" fontId="8" fillId="0" borderId="0" xfId="2" applyFont="1" applyAlignment="1" applyProtection="1">
      <alignment horizontal="center"/>
      <protection locked="0"/>
    </xf>
    <xf numFmtId="0" fontId="10" fillId="0" borderId="0" xfId="3" applyFont="1" applyAlignment="1" applyProtection="1">
      <alignment vertical="top"/>
      <protection hidden="1"/>
    </xf>
    <xf numFmtId="0" fontId="8" fillId="0" borderId="0" xfId="3" applyFont="1" applyAlignment="1">
      <alignment vertical="top"/>
    </xf>
    <xf numFmtId="0" fontId="8" fillId="0" borderId="0" xfId="3" applyFont="1" applyAlignment="1">
      <alignment horizontal="center" vertical="top"/>
    </xf>
    <xf numFmtId="1" fontId="8" fillId="0" borderId="0" xfId="3" applyNumberFormat="1" applyFont="1" applyAlignment="1">
      <alignment vertical="top"/>
    </xf>
    <xf numFmtId="0" fontId="8" fillId="0" borderId="0" xfId="2" applyFont="1"/>
    <xf numFmtId="2" fontId="8" fillId="0" borderId="0" xfId="2" applyNumberFormat="1" applyFont="1"/>
    <xf numFmtId="0" fontId="8" fillId="0" borderId="0" xfId="2" applyFont="1" applyAlignment="1">
      <alignment horizontal="left"/>
    </xf>
    <xf numFmtId="0" fontId="4" fillId="0" borderId="7" xfId="3" applyFont="1" applyBorder="1" applyAlignment="1">
      <alignment horizontal="left" vertical="center" wrapText="1"/>
    </xf>
    <xf numFmtId="0" fontId="14" fillId="0" borderId="7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8" fillId="0" borderId="1" xfId="2" applyFont="1" applyBorder="1" applyProtection="1">
      <protection locked="0"/>
    </xf>
    <xf numFmtId="0" fontId="7" fillId="0" borderId="1" xfId="4" applyFont="1" applyBorder="1" applyAlignment="1">
      <alignment horizontal="right"/>
    </xf>
    <xf numFmtId="0" fontId="4" fillId="0" borderId="1" xfId="4" applyFont="1" applyBorder="1"/>
    <xf numFmtId="2" fontId="4" fillId="0" borderId="1" xfId="4" applyNumberFormat="1" applyFont="1" applyBorder="1"/>
    <xf numFmtId="168" fontId="4" fillId="0" borderId="1" xfId="4" applyNumberFormat="1" applyFont="1" applyBorder="1"/>
    <xf numFmtId="1" fontId="4" fillId="0" borderId="1" xfId="4" applyNumberFormat="1" applyFont="1" applyBorder="1"/>
    <xf numFmtId="168" fontId="4" fillId="0" borderId="7" xfId="3" applyNumberFormat="1" applyFont="1" applyBorder="1" applyAlignment="1">
      <alignment horizontal="center" vertical="center"/>
    </xf>
    <xf numFmtId="0" fontId="11" fillId="3" borderId="7" xfId="3" applyFont="1" applyFill="1" applyBorder="1" applyAlignment="1" applyProtection="1">
      <alignment horizontal="center" vertical="center" wrapText="1"/>
      <protection hidden="1"/>
    </xf>
    <xf numFmtId="0" fontId="4" fillId="0" borderId="7" xfId="3" quotePrefix="1" applyFont="1" applyBorder="1" applyAlignment="1">
      <alignment horizontal="center" vertical="center" wrapText="1"/>
    </xf>
    <xf numFmtId="0" fontId="7" fillId="0" borderId="0" xfId="4" applyFont="1" applyAlignment="1" applyProtection="1">
      <alignment horizontal="right" vertical="top"/>
      <protection hidden="1"/>
    </xf>
    <xf numFmtId="168" fontId="4" fillId="0" borderId="0" xfId="4" applyNumberFormat="1" applyFont="1" applyAlignment="1">
      <alignment vertical="top"/>
    </xf>
    <xf numFmtId="4" fontId="7" fillId="0" borderId="0" xfId="4" applyNumberFormat="1" applyFont="1" applyAlignment="1">
      <alignment vertical="top"/>
    </xf>
    <xf numFmtId="0" fontId="8" fillId="0" borderId="0" xfId="2" applyFont="1" applyAlignment="1">
      <alignment horizontal="center"/>
    </xf>
    <xf numFmtId="0" fontId="12" fillId="0" borderId="1" xfId="2" applyFont="1" applyBorder="1" applyAlignment="1">
      <alignment horizontal="left"/>
    </xf>
    <xf numFmtId="0" fontId="10" fillId="0" borderId="0" xfId="2" applyFont="1" applyAlignment="1">
      <alignment horizontal="center" vertical="center"/>
    </xf>
    <xf numFmtId="0" fontId="8" fillId="0" borderId="5" xfId="3" applyFont="1" applyBorder="1" applyAlignment="1">
      <alignment horizontal="center" vertical="top"/>
    </xf>
    <xf numFmtId="0" fontId="8" fillId="0" borderId="0" xfId="3" applyFont="1" applyAlignment="1">
      <alignment horizontal="center" vertical="top"/>
    </xf>
    <xf numFmtId="0" fontId="8" fillId="0" borderId="0" xfId="2" applyFont="1" applyAlignment="1">
      <alignment horizontal="center" wrapText="1"/>
    </xf>
    <xf numFmtId="0" fontId="10" fillId="0" borderId="1" xfId="2" applyFont="1" applyBorder="1" applyAlignment="1" applyProtection="1">
      <alignment horizontal="left" wrapText="1"/>
      <protection locked="0"/>
    </xf>
    <xf numFmtId="0" fontId="8" fillId="0" borderId="0" xfId="2" applyFont="1" applyAlignment="1">
      <alignment horizontal="left" wrapText="1"/>
    </xf>
    <xf numFmtId="0" fontId="8" fillId="0" borderId="0" xfId="2" applyFont="1" applyAlignment="1">
      <alignment horizontal="left"/>
    </xf>
    <xf numFmtId="0" fontId="7" fillId="2" borderId="6" xfId="4" applyFont="1" applyFill="1" applyBorder="1" applyAlignment="1">
      <alignment horizontal="center" vertical="center" wrapText="1"/>
    </xf>
    <xf numFmtId="0" fontId="7" fillId="2" borderId="7" xfId="4" applyFont="1" applyFill="1" applyBorder="1" applyAlignment="1">
      <alignment horizontal="center" vertical="center" wrapText="1"/>
    </xf>
    <xf numFmtId="0" fontId="7" fillId="2" borderId="3" xfId="4" applyFont="1" applyFill="1" applyBorder="1" applyAlignment="1">
      <alignment horizontal="center" vertical="center" wrapText="1"/>
    </xf>
    <xf numFmtId="2" fontId="7" fillId="2" borderId="6" xfId="4" applyNumberFormat="1" applyFont="1" applyFill="1" applyBorder="1" applyAlignment="1">
      <alignment horizontal="center" vertical="center" wrapText="1"/>
    </xf>
    <xf numFmtId="2" fontId="7" fillId="2" borderId="7" xfId="4" applyNumberFormat="1" applyFont="1" applyFill="1" applyBorder="1" applyAlignment="1">
      <alignment horizontal="center" vertical="center" wrapText="1"/>
    </xf>
    <xf numFmtId="168" fontId="7" fillId="2" borderId="6" xfId="4" applyNumberFormat="1" applyFont="1" applyFill="1" applyBorder="1" applyAlignment="1">
      <alignment horizontal="center" vertical="center" wrapText="1"/>
    </xf>
    <xf numFmtId="168" fontId="7" fillId="2" borderId="7" xfId="4" applyNumberFormat="1" applyFont="1" applyFill="1" applyBorder="1" applyAlignment="1">
      <alignment horizontal="center" vertical="center" wrapText="1"/>
    </xf>
    <xf numFmtId="1" fontId="7" fillId="2" borderId="6" xfId="4" applyNumberFormat="1" applyFont="1" applyFill="1" applyBorder="1" applyAlignment="1">
      <alignment horizontal="center" vertical="center" wrapText="1"/>
    </xf>
    <xf numFmtId="1" fontId="7" fillId="2" borderId="7" xfId="4" applyNumberFormat="1" applyFont="1" applyFill="1" applyBorder="1" applyAlignment="1">
      <alignment horizontal="center" vertical="center" wrapText="1"/>
    </xf>
    <xf numFmtId="0" fontId="11" fillId="3" borderId="8" xfId="3" applyFont="1" applyFill="1" applyBorder="1" applyAlignment="1" applyProtection="1">
      <alignment horizontal="center" vertical="center"/>
      <protection hidden="1"/>
    </xf>
    <xf numFmtId="0" fontId="11" fillId="3" borderId="9" xfId="3" applyFont="1" applyFill="1" applyBorder="1" applyAlignment="1" applyProtection="1">
      <alignment horizontal="center" vertical="center"/>
      <protection hidden="1"/>
    </xf>
    <xf numFmtId="0" fontId="11" fillId="3" borderId="10" xfId="3" applyFont="1" applyFill="1" applyBorder="1" applyAlignment="1" applyProtection="1">
      <alignment horizontal="center" vertical="center"/>
      <protection hidden="1"/>
    </xf>
    <xf numFmtId="0" fontId="11" fillId="3" borderId="7" xfId="3" applyFont="1" applyFill="1" applyBorder="1" applyAlignment="1" applyProtection="1">
      <alignment horizontal="center" vertical="center"/>
      <protection hidden="1"/>
    </xf>
    <xf numFmtId="0" fontId="11" fillId="3" borderId="7" xfId="3" applyFont="1" applyFill="1" applyBorder="1" applyAlignment="1" applyProtection="1">
      <alignment horizontal="center" vertical="center" wrapText="1"/>
      <protection hidden="1"/>
    </xf>
    <xf numFmtId="0" fontId="11" fillId="3" borderId="11" xfId="3" applyFont="1" applyFill="1" applyBorder="1" applyAlignment="1" applyProtection="1">
      <alignment horizontal="center" vertical="center"/>
      <protection hidden="1"/>
    </xf>
    <xf numFmtId="0" fontId="11" fillId="3" borderId="12" xfId="3" applyFont="1" applyFill="1" applyBorder="1" applyAlignment="1" applyProtection="1">
      <alignment horizontal="center" vertical="center"/>
      <protection hidden="1"/>
    </xf>
    <xf numFmtId="0" fontId="11" fillId="3" borderId="11" xfId="3" applyFont="1" applyFill="1" applyBorder="1" applyAlignment="1" applyProtection="1">
      <alignment horizontal="center" vertical="center" wrapText="1"/>
      <protection hidden="1"/>
    </xf>
    <xf numFmtId="0" fontId="11" fillId="3" borderId="13" xfId="3" applyFont="1" applyFill="1" applyBorder="1" applyAlignment="1" applyProtection="1">
      <alignment horizontal="center" vertical="center" wrapText="1"/>
      <protection hidden="1"/>
    </xf>
    <xf numFmtId="0" fontId="11" fillId="3" borderId="12" xfId="3" applyFont="1" applyFill="1" applyBorder="1" applyAlignment="1" applyProtection="1">
      <alignment horizontal="center" vertical="center" wrapText="1"/>
      <protection hidden="1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 vertical="top" wrapText="1"/>
    </xf>
    <xf numFmtId="2" fontId="4" fillId="0" borderId="7" xfId="3" applyNumberFormat="1" applyFont="1" applyFill="1" applyBorder="1" applyAlignment="1">
      <alignment horizontal="center" vertical="center"/>
    </xf>
  </cellXfs>
  <cellStyles count="22">
    <cellStyle name="S1 2 2 3" xfId="18"/>
    <cellStyle name="S10" xfId="7"/>
    <cellStyle name="S11" xfId="6"/>
    <cellStyle name="S6" xfId="8"/>
    <cellStyle name="S7 2 3 2 2" xfId="11"/>
    <cellStyle name="S9 10" xfId="14"/>
    <cellStyle name="S9 5 2" xfId="12"/>
    <cellStyle name="Обычный" xfId="0" builtinId="0"/>
    <cellStyle name="Обычный 10" xfId="4"/>
    <cellStyle name="Обычный 11 2 3" xfId="10"/>
    <cellStyle name="Обычный 12" xfId="1"/>
    <cellStyle name="Обычный 12 3 10 2 2" xfId="21"/>
    <cellStyle name="Обычный 2 11 2 2" xfId="16"/>
    <cellStyle name="Обычный 2 3 2 2 3" xfId="13"/>
    <cellStyle name="Обычный 24 9" xfId="19"/>
    <cellStyle name="Обычный 33 2 6" xfId="17"/>
    <cellStyle name="Обычный 4" xfId="15"/>
    <cellStyle name="Обычный_6200_PRT" xfId="2"/>
    <cellStyle name="Обычный_6200РД" xfId="3"/>
    <cellStyle name="Обычный_6200РД 2" xfId="5"/>
    <cellStyle name="Процентный 2" xfId="20"/>
    <cellStyle name="Финансовый 12 5 2 2 2" xfId="9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008C95"/>
      <color rgb="FFD0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workbookViewId="0">
      <selection activeCell="P36" sqref="P36"/>
    </sheetView>
  </sheetViews>
  <sheetFormatPr defaultColWidth="12.453125" defaultRowHeight="14"/>
  <cols>
    <col min="1" max="1" width="4.453125" style="28" customWidth="1"/>
    <col min="2" max="2" width="38.453125" style="28" customWidth="1"/>
    <col min="3" max="3" width="8" style="28" customWidth="1"/>
    <col min="4" max="4" width="8.453125" style="28" customWidth="1"/>
    <col min="5" max="5" width="11.453125" style="28" customWidth="1"/>
    <col min="6" max="6" width="14.453125" style="28" customWidth="1"/>
    <col min="7" max="7" width="9.26953125" style="28" customWidth="1"/>
    <col min="8" max="8" width="7.453125" style="28" customWidth="1"/>
    <col min="9" max="9" width="5.453125" style="28" customWidth="1"/>
    <col min="10" max="10" width="5" style="28" customWidth="1"/>
    <col min="11" max="11" width="17.1796875" style="28" customWidth="1"/>
    <col min="12" max="16384" width="12.453125" style="28"/>
  </cols>
  <sheetData>
    <row r="1" spans="1:11">
      <c r="A1" s="3"/>
      <c r="B1" s="4"/>
      <c r="C1" s="4"/>
      <c r="D1" s="5"/>
      <c r="E1" s="5"/>
      <c r="F1" s="6"/>
      <c r="G1" s="5"/>
      <c r="H1" s="5"/>
      <c r="I1" s="5"/>
      <c r="J1" s="5"/>
      <c r="K1" s="6"/>
    </row>
    <row r="2" spans="1:11">
      <c r="A2" s="56" t="s">
        <v>6</v>
      </c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>
      <c r="A3" s="56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 ht="14.5" thickBot="1">
      <c r="A4" s="30"/>
      <c r="B4" s="30"/>
      <c r="C4" s="42"/>
      <c r="D4" s="42" t="s">
        <v>0</v>
      </c>
      <c r="E4" s="42"/>
      <c r="F4" s="42"/>
      <c r="G4" s="42"/>
      <c r="H4" s="31"/>
      <c r="I4" s="31"/>
      <c r="J4" s="31"/>
      <c r="K4" s="30"/>
    </row>
    <row r="5" spans="1:11">
      <c r="A5" s="32"/>
      <c r="B5" s="33"/>
      <c r="C5" s="33"/>
      <c r="D5" s="57" t="s">
        <v>2</v>
      </c>
      <c r="E5" s="57"/>
      <c r="F5" s="57"/>
      <c r="G5" s="57"/>
      <c r="H5" s="58"/>
      <c r="I5" s="34"/>
      <c r="J5" s="34"/>
      <c r="K5" s="35"/>
    </row>
    <row r="6" spans="1:11" ht="30.75" customHeight="1">
      <c r="A6" s="36"/>
      <c r="B6" s="36"/>
      <c r="C6" s="36"/>
      <c r="D6" s="36"/>
      <c r="E6" s="36"/>
      <c r="F6" s="37"/>
      <c r="G6" s="36"/>
      <c r="H6" s="36"/>
      <c r="I6" s="36"/>
      <c r="J6" s="36"/>
      <c r="K6" s="37"/>
    </row>
    <row r="7" spans="1:11" ht="14.5" thickBot="1">
      <c r="A7" s="59" t="s">
        <v>3</v>
      </c>
      <c r="B7" s="59"/>
      <c r="C7" s="59"/>
      <c r="D7" s="60" t="s">
        <v>76</v>
      </c>
      <c r="E7" s="60"/>
      <c r="F7" s="60"/>
      <c r="G7" s="60"/>
      <c r="H7" s="60"/>
      <c r="I7" s="60"/>
      <c r="J7" s="60"/>
      <c r="K7" s="60"/>
    </row>
    <row r="8" spans="1:11">
      <c r="A8" s="36"/>
      <c r="B8" s="36"/>
      <c r="C8" s="36"/>
      <c r="D8" s="36"/>
      <c r="E8" s="36"/>
      <c r="F8" s="37"/>
      <c r="G8" s="36"/>
      <c r="H8" s="36"/>
      <c r="I8" s="36"/>
      <c r="J8" s="36"/>
      <c r="K8" s="37"/>
    </row>
    <row r="9" spans="1:11" ht="14.5" thickBot="1">
      <c r="A9" s="54" t="s">
        <v>4</v>
      </c>
      <c r="B9" s="54"/>
      <c r="C9" s="54"/>
      <c r="D9" s="55" t="s">
        <v>75</v>
      </c>
      <c r="E9" s="55"/>
      <c r="F9" s="55"/>
      <c r="G9" s="55"/>
      <c r="H9" s="55"/>
      <c r="I9" s="55"/>
      <c r="J9" s="55"/>
      <c r="K9" s="55"/>
    </row>
    <row r="10" spans="1:11">
      <c r="A10" s="36"/>
      <c r="B10" s="36"/>
      <c r="C10" s="36"/>
      <c r="D10" s="36"/>
      <c r="E10" s="38"/>
      <c r="F10" s="37"/>
      <c r="G10" s="36"/>
      <c r="H10" s="36"/>
      <c r="I10" s="36"/>
      <c r="J10" s="36"/>
      <c r="K10" s="37"/>
    </row>
    <row r="11" spans="1:11" ht="14.5" thickBot="1">
      <c r="A11" s="54" t="s">
        <v>5</v>
      </c>
      <c r="B11" s="54"/>
      <c r="C11" s="54"/>
      <c r="D11" s="55"/>
      <c r="E11" s="55"/>
      <c r="F11" s="55"/>
      <c r="G11" s="55"/>
      <c r="H11" s="55"/>
      <c r="I11" s="55"/>
      <c r="J11" s="55"/>
      <c r="K11" s="55"/>
    </row>
    <row r="12" spans="1:11">
      <c r="A12" s="36"/>
      <c r="B12" s="36"/>
      <c r="C12" s="36"/>
      <c r="D12" s="36"/>
      <c r="E12" s="36"/>
      <c r="F12" s="37"/>
      <c r="G12" s="36"/>
      <c r="H12" s="36"/>
      <c r="I12" s="36"/>
      <c r="J12" s="36"/>
      <c r="K12" s="37"/>
    </row>
    <row r="13" spans="1:11">
      <c r="A13" s="54" t="s">
        <v>7</v>
      </c>
      <c r="B13" s="54"/>
      <c r="C13" s="54"/>
      <c r="D13" s="61" t="s">
        <v>8</v>
      </c>
      <c r="E13" s="62"/>
      <c r="F13" s="62"/>
      <c r="G13" s="62"/>
      <c r="H13" s="62"/>
      <c r="I13" s="62"/>
      <c r="J13" s="62"/>
      <c r="K13" s="62"/>
    </row>
    <row r="14" spans="1:11" ht="14.5" thickBot="1">
      <c r="A14" s="43"/>
      <c r="B14" s="44"/>
      <c r="C14" s="44"/>
      <c r="D14" s="44"/>
      <c r="E14" s="45"/>
      <c r="F14" s="44"/>
      <c r="G14" s="46"/>
      <c r="H14" s="46"/>
      <c r="I14" s="46"/>
      <c r="J14" s="46"/>
      <c r="K14" s="47"/>
    </row>
    <row r="15" spans="1:11" ht="31.5" customHeight="1">
      <c r="A15" s="63" t="s">
        <v>9</v>
      </c>
      <c r="B15" s="63" t="s">
        <v>10</v>
      </c>
      <c r="C15" s="65" t="s">
        <v>11</v>
      </c>
      <c r="D15" s="63" t="s">
        <v>12</v>
      </c>
      <c r="E15" s="66" t="s">
        <v>13</v>
      </c>
      <c r="F15" s="63" t="s">
        <v>14</v>
      </c>
      <c r="G15" s="68" t="s">
        <v>15</v>
      </c>
      <c r="H15" s="68" t="s">
        <v>16</v>
      </c>
      <c r="I15" s="68"/>
      <c r="J15" s="68"/>
      <c r="K15" s="70" t="s">
        <v>17</v>
      </c>
    </row>
    <row r="16" spans="1:11" ht="18.75" customHeight="1">
      <c r="A16" s="64"/>
      <c r="B16" s="64"/>
      <c r="C16" s="63"/>
      <c r="D16" s="64"/>
      <c r="E16" s="67"/>
      <c r="F16" s="64"/>
      <c r="G16" s="69"/>
      <c r="H16" s="7" t="s">
        <v>18</v>
      </c>
      <c r="I16" s="7" t="s">
        <v>19</v>
      </c>
      <c r="J16" s="7" t="s">
        <v>20</v>
      </c>
      <c r="K16" s="71"/>
    </row>
    <row r="17" spans="1:11" ht="14.5" thickBot="1">
      <c r="A17" s="8">
        <v>1</v>
      </c>
      <c r="B17" s="9">
        <v>2</v>
      </c>
      <c r="C17" s="9">
        <v>3</v>
      </c>
      <c r="D17" s="9">
        <v>4</v>
      </c>
      <c r="E17" s="9">
        <v>5</v>
      </c>
      <c r="F17" s="9">
        <v>6</v>
      </c>
      <c r="G17" s="9">
        <v>7</v>
      </c>
      <c r="H17" s="9">
        <v>8</v>
      </c>
      <c r="I17" s="9">
        <v>9</v>
      </c>
      <c r="J17" s="9">
        <v>10</v>
      </c>
      <c r="K17" s="9">
        <v>11</v>
      </c>
    </row>
    <row r="18" spans="1:11">
      <c r="A18" s="72" t="s">
        <v>21</v>
      </c>
      <c r="B18" s="73"/>
      <c r="C18" s="73"/>
      <c r="D18" s="73"/>
      <c r="E18" s="73"/>
      <c r="F18" s="73"/>
      <c r="G18" s="73"/>
      <c r="H18" s="73"/>
      <c r="I18" s="73"/>
      <c r="J18" s="73"/>
      <c r="K18" s="74"/>
    </row>
    <row r="19" spans="1:11" ht="22" customHeight="1">
      <c r="A19" s="10">
        <v>1</v>
      </c>
      <c r="B19" s="11" t="s">
        <v>22</v>
      </c>
      <c r="C19" s="11"/>
      <c r="D19" s="12" t="s">
        <v>23</v>
      </c>
      <c r="E19" s="20">
        <v>2</v>
      </c>
      <c r="F19" s="39" t="s">
        <v>24</v>
      </c>
      <c r="G19" s="14">
        <v>6426</v>
      </c>
      <c r="H19" s="12">
        <v>1</v>
      </c>
      <c r="I19" s="12">
        <v>1.3</v>
      </c>
      <c r="J19" s="12">
        <v>1</v>
      </c>
      <c r="K19" s="14">
        <f>ROUND(E19*G19*H19*I19*J19,2)</f>
        <v>16707.599999999999</v>
      </c>
    </row>
    <row r="20" spans="1:11" ht="49.5" hidden="1" customHeight="1">
      <c r="A20" s="10">
        <v>2</v>
      </c>
      <c r="B20" s="11" t="s">
        <v>25</v>
      </c>
      <c r="C20" s="11"/>
      <c r="D20" s="12" t="s">
        <v>23</v>
      </c>
      <c r="E20" s="20">
        <v>0</v>
      </c>
      <c r="F20" s="39" t="s">
        <v>24</v>
      </c>
      <c r="G20" s="14">
        <v>6426</v>
      </c>
      <c r="H20" s="12">
        <v>0.7</v>
      </c>
      <c r="I20" s="12">
        <v>1.3</v>
      </c>
      <c r="J20" s="12">
        <v>1</v>
      </c>
      <c r="K20" s="14">
        <f>ROUND(E20*G20*H20*I20*J20,2)</f>
        <v>0</v>
      </c>
    </row>
    <row r="21" spans="1:11" ht="25">
      <c r="A21" s="10">
        <v>3</v>
      </c>
      <c r="B21" s="11" t="s">
        <v>26</v>
      </c>
      <c r="C21" s="11"/>
      <c r="D21" s="12" t="s">
        <v>23</v>
      </c>
      <c r="E21" s="20">
        <v>2</v>
      </c>
      <c r="F21" s="39" t="s">
        <v>27</v>
      </c>
      <c r="G21" s="14">
        <v>1897</v>
      </c>
      <c r="H21" s="14">
        <v>1</v>
      </c>
      <c r="I21" s="12">
        <v>1</v>
      </c>
      <c r="J21" s="12">
        <v>1</v>
      </c>
      <c r="K21" s="14">
        <f t="shared" ref="K21:K27" si="0">ROUND(E21*G21*H21*I21*J21,2)</f>
        <v>3794</v>
      </c>
    </row>
    <row r="22" spans="1:11" ht="37.5" hidden="1">
      <c r="A22" s="10">
        <v>4</v>
      </c>
      <c r="B22" s="11" t="s">
        <v>28</v>
      </c>
      <c r="C22" s="11"/>
      <c r="D22" s="12" t="s">
        <v>23</v>
      </c>
      <c r="E22" s="20">
        <v>0</v>
      </c>
      <c r="F22" s="39" t="s">
        <v>27</v>
      </c>
      <c r="G22" s="14">
        <v>1897</v>
      </c>
      <c r="H22" s="14">
        <v>0.4</v>
      </c>
      <c r="I22" s="12">
        <v>1</v>
      </c>
      <c r="J22" s="12">
        <v>1</v>
      </c>
      <c r="K22" s="14">
        <f t="shared" si="0"/>
        <v>0</v>
      </c>
    </row>
    <row r="23" spans="1:11" ht="62.5" hidden="1">
      <c r="A23" s="10">
        <v>5</v>
      </c>
      <c r="B23" s="11" t="s">
        <v>29</v>
      </c>
      <c r="C23" s="11"/>
      <c r="D23" s="12" t="s">
        <v>30</v>
      </c>
      <c r="E23" s="20">
        <v>0</v>
      </c>
      <c r="F23" s="39" t="s">
        <v>31</v>
      </c>
      <c r="G23" s="14">
        <v>804</v>
      </c>
      <c r="H23" s="14">
        <v>1.2</v>
      </c>
      <c r="I23" s="12">
        <v>1.3</v>
      </c>
      <c r="J23" s="12">
        <v>0.5</v>
      </c>
      <c r="K23" s="14">
        <f t="shared" si="0"/>
        <v>0</v>
      </c>
    </row>
    <row r="24" spans="1:11" ht="62.5" hidden="1">
      <c r="A24" s="10">
        <v>6</v>
      </c>
      <c r="B24" s="11" t="s">
        <v>32</v>
      </c>
      <c r="C24" s="11"/>
      <c r="D24" s="12" t="s">
        <v>30</v>
      </c>
      <c r="E24" s="20">
        <v>0</v>
      </c>
      <c r="F24" s="39" t="s">
        <v>33</v>
      </c>
      <c r="G24" s="14">
        <v>804</v>
      </c>
      <c r="H24" s="14">
        <v>1.2</v>
      </c>
      <c r="I24" s="12">
        <v>1.3</v>
      </c>
      <c r="J24" s="12">
        <v>1</v>
      </c>
      <c r="K24" s="14">
        <f t="shared" si="0"/>
        <v>0</v>
      </c>
    </row>
    <row r="25" spans="1:11" ht="62.5" hidden="1">
      <c r="A25" s="10">
        <v>7</v>
      </c>
      <c r="B25" s="11" t="s">
        <v>34</v>
      </c>
      <c r="C25" s="11"/>
      <c r="D25" s="12" t="s">
        <v>30</v>
      </c>
      <c r="E25" s="48">
        <v>0</v>
      </c>
      <c r="F25" s="39" t="s">
        <v>35</v>
      </c>
      <c r="G25" s="14">
        <v>1430</v>
      </c>
      <c r="H25" s="14">
        <v>1.2</v>
      </c>
      <c r="I25" s="12">
        <v>1.3</v>
      </c>
      <c r="J25" s="12">
        <v>1</v>
      </c>
      <c r="K25" s="14">
        <f t="shared" si="0"/>
        <v>0</v>
      </c>
    </row>
    <row r="26" spans="1:11" ht="62.5">
      <c r="A26" s="10">
        <v>8</v>
      </c>
      <c r="B26" s="11" t="s">
        <v>36</v>
      </c>
      <c r="C26" s="11"/>
      <c r="D26" s="12" t="s">
        <v>30</v>
      </c>
      <c r="E26" s="20">
        <v>2</v>
      </c>
      <c r="F26" s="39" t="s">
        <v>37</v>
      </c>
      <c r="G26" s="14">
        <v>6195</v>
      </c>
      <c r="H26" s="14">
        <v>1.75</v>
      </c>
      <c r="I26" s="12">
        <v>1.3</v>
      </c>
      <c r="J26" s="12">
        <v>1</v>
      </c>
      <c r="K26" s="14">
        <f t="shared" si="0"/>
        <v>28187.25</v>
      </c>
    </row>
    <row r="27" spans="1:11" ht="25">
      <c r="A27" s="10">
        <v>9</v>
      </c>
      <c r="B27" s="11" t="s">
        <v>38</v>
      </c>
      <c r="C27" s="11"/>
      <c r="D27" s="12" t="s">
        <v>39</v>
      </c>
      <c r="E27" s="20">
        <v>2</v>
      </c>
      <c r="F27" s="15" t="s">
        <v>40</v>
      </c>
      <c r="G27" s="14">
        <v>127</v>
      </c>
      <c r="H27" s="14">
        <v>1</v>
      </c>
      <c r="I27" s="12">
        <v>1</v>
      </c>
      <c r="J27" s="12">
        <v>1</v>
      </c>
      <c r="K27" s="14">
        <f t="shared" si="0"/>
        <v>254</v>
      </c>
    </row>
    <row r="28" spans="1:11">
      <c r="A28" s="16"/>
      <c r="B28" s="17" t="s">
        <v>41</v>
      </c>
      <c r="C28" s="17"/>
      <c r="D28" s="12" t="s">
        <v>42</v>
      </c>
      <c r="E28" s="12" t="s">
        <v>42</v>
      </c>
      <c r="F28" s="12" t="s">
        <v>42</v>
      </c>
      <c r="G28" s="12" t="s">
        <v>42</v>
      </c>
      <c r="H28" s="12" t="s">
        <v>42</v>
      </c>
      <c r="I28" s="12" t="s">
        <v>42</v>
      </c>
      <c r="J28" s="12" t="s">
        <v>42</v>
      </c>
      <c r="K28" s="18">
        <f>ROUND(SUM(K19:K27),2)</f>
        <v>48942.85</v>
      </c>
    </row>
    <row r="29" spans="1:11">
      <c r="A29" s="75" t="s">
        <v>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</row>
    <row r="30" spans="1:11" ht="25">
      <c r="A30" s="10">
        <v>14</v>
      </c>
      <c r="B30" s="11" t="s">
        <v>22</v>
      </c>
      <c r="C30" s="11"/>
      <c r="D30" s="12" t="s">
        <v>23</v>
      </c>
      <c r="E30" s="20">
        <f>E19</f>
        <v>2</v>
      </c>
      <c r="F30" s="39" t="s">
        <v>24</v>
      </c>
      <c r="G30" s="14">
        <v>2538</v>
      </c>
      <c r="H30" s="12">
        <v>1</v>
      </c>
      <c r="I30" s="12">
        <v>1</v>
      </c>
      <c r="J30" s="12">
        <v>1</v>
      </c>
      <c r="K30" s="14">
        <f>ROUND(E30*G30*H30*I30*J30,2)</f>
        <v>5076</v>
      </c>
    </row>
    <row r="31" spans="1:11" ht="25">
      <c r="A31" s="10">
        <v>15</v>
      </c>
      <c r="B31" s="11" t="s">
        <v>26</v>
      </c>
      <c r="C31" s="11"/>
      <c r="D31" s="12" t="s">
        <v>23</v>
      </c>
      <c r="E31" s="20">
        <f>E21</f>
        <v>2</v>
      </c>
      <c r="F31" s="39" t="s">
        <v>44</v>
      </c>
      <c r="G31" s="14">
        <v>428</v>
      </c>
      <c r="H31" s="12">
        <v>1</v>
      </c>
      <c r="I31" s="12">
        <v>1</v>
      </c>
      <c r="J31" s="12">
        <v>1</v>
      </c>
      <c r="K31" s="14">
        <f>ROUND(E31*G31*H31*I31*J31,2)</f>
        <v>856</v>
      </c>
    </row>
    <row r="32" spans="1:11" ht="75" hidden="1">
      <c r="A32" s="10">
        <v>16</v>
      </c>
      <c r="B32" s="11" t="s">
        <v>45</v>
      </c>
      <c r="C32" s="11"/>
      <c r="D32" s="12" t="s">
        <v>30</v>
      </c>
      <c r="E32" s="20">
        <v>0</v>
      </c>
      <c r="F32" s="39" t="s">
        <v>46</v>
      </c>
      <c r="G32" s="14">
        <v>174</v>
      </c>
      <c r="H32" s="14">
        <v>1.2</v>
      </c>
      <c r="I32" s="12">
        <v>1.2</v>
      </c>
      <c r="J32" s="12">
        <v>0.5</v>
      </c>
      <c r="K32" s="14">
        <f t="shared" ref="K32:K37" si="1">ROUND(E32*G32*H32*I32*J32,2)</f>
        <v>0</v>
      </c>
    </row>
    <row r="33" spans="1:11" ht="75" hidden="1">
      <c r="A33" s="10">
        <v>17</v>
      </c>
      <c r="B33" s="11" t="s">
        <v>47</v>
      </c>
      <c r="C33" s="11"/>
      <c r="D33" s="12" t="s">
        <v>30</v>
      </c>
      <c r="E33" s="20">
        <v>0</v>
      </c>
      <c r="F33" s="39" t="s">
        <v>48</v>
      </c>
      <c r="G33" s="14">
        <v>174</v>
      </c>
      <c r="H33" s="14">
        <v>1.2</v>
      </c>
      <c r="I33" s="12">
        <v>1.2</v>
      </c>
      <c r="J33" s="12">
        <v>1.1000000000000001</v>
      </c>
      <c r="K33" s="14">
        <f t="shared" si="1"/>
        <v>0</v>
      </c>
    </row>
    <row r="34" spans="1:11" ht="75" hidden="1">
      <c r="A34" s="10">
        <v>18</v>
      </c>
      <c r="B34" s="11" t="s">
        <v>49</v>
      </c>
      <c r="C34" s="11"/>
      <c r="D34" s="12" t="s">
        <v>30</v>
      </c>
      <c r="E34" s="48">
        <v>0</v>
      </c>
      <c r="F34" s="39" t="s">
        <v>50</v>
      </c>
      <c r="G34" s="14">
        <v>343</v>
      </c>
      <c r="H34" s="14">
        <v>1.2</v>
      </c>
      <c r="I34" s="12">
        <v>1.2</v>
      </c>
      <c r="J34" s="12">
        <v>1.1000000000000001</v>
      </c>
      <c r="K34" s="14">
        <f t="shared" si="1"/>
        <v>0</v>
      </c>
    </row>
    <row r="35" spans="1:11" ht="75">
      <c r="A35" s="10">
        <v>19</v>
      </c>
      <c r="B35" s="11" t="s">
        <v>51</v>
      </c>
      <c r="C35" s="11"/>
      <c r="D35" s="12" t="s">
        <v>30</v>
      </c>
      <c r="E35" s="20">
        <v>2</v>
      </c>
      <c r="F35" s="39" t="s">
        <v>52</v>
      </c>
      <c r="G35" s="14">
        <v>2558</v>
      </c>
      <c r="H35" s="14">
        <v>1.2</v>
      </c>
      <c r="I35" s="12">
        <v>1.2</v>
      </c>
      <c r="J35" s="12">
        <v>1.1000000000000001</v>
      </c>
      <c r="K35" s="14">
        <f t="shared" si="1"/>
        <v>8103.74</v>
      </c>
    </row>
    <row r="36" spans="1:11" ht="25">
      <c r="A36" s="10">
        <v>24</v>
      </c>
      <c r="B36" s="11" t="s">
        <v>53</v>
      </c>
      <c r="C36" s="11"/>
      <c r="D36" s="12" t="s">
        <v>54</v>
      </c>
      <c r="E36" s="20">
        <v>4</v>
      </c>
      <c r="F36" s="39" t="s">
        <v>55</v>
      </c>
      <c r="G36" s="14">
        <v>480</v>
      </c>
      <c r="H36" s="12">
        <v>1</v>
      </c>
      <c r="I36" s="12">
        <v>1</v>
      </c>
      <c r="J36" s="12">
        <v>1</v>
      </c>
      <c r="K36" s="14">
        <f t="shared" si="1"/>
        <v>1920</v>
      </c>
    </row>
    <row r="37" spans="1:11" ht="25">
      <c r="A37" s="10">
        <v>25</v>
      </c>
      <c r="B37" s="11" t="s">
        <v>56</v>
      </c>
      <c r="C37" s="11"/>
      <c r="D37" s="12" t="s">
        <v>23</v>
      </c>
      <c r="E37" s="20">
        <v>5</v>
      </c>
      <c r="F37" s="39" t="s">
        <v>57</v>
      </c>
      <c r="G37" s="14">
        <v>160</v>
      </c>
      <c r="H37" s="12">
        <v>1</v>
      </c>
      <c r="I37" s="12">
        <v>1</v>
      </c>
      <c r="J37" s="12">
        <v>1</v>
      </c>
      <c r="K37" s="14">
        <f t="shared" si="1"/>
        <v>800</v>
      </c>
    </row>
    <row r="38" spans="1:11">
      <c r="A38" s="24"/>
      <c r="B38" s="17" t="s">
        <v>58</v>
      </c>
      <c r="C38" s="17"/>
      <c r="D38" s="12" t="s">
        <v>42</v>
      </c>
      <c r="E38" s="12" t="s">
        <v>42</v>
      </c>
      <c r="F38" s="12" t="s">
        <v>42</v>
      </c>
      <c r="G38" s="12" t="s">
        <v>42</v>
      </c>
      <c r="H38" s="12" t="s">
        <v>42</v>
      </c>
      <c r="I38" s="12" t="s">
        <v>42</v>
      </c>
      <c r="J38" s="12" t="s">
        <v>42</v>
      </c>
      <c r="K38" s="18">
        <f>ROUND(SUM(K30:K37),2)</f>
        <v>16755.740000000002</v>
      </c>
    </row>
    <row r="39" spans="1:11" ht="32.25" customHeight="1">
      <c r="A39" s="76" t="s">
        <v>77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spans="1:11" ht="52">
      <c r="A40" s="49"/>
      <c r="B40" s="19" t="s">
        <v>10</v>
      </c>
      <c r="C40" s="77" t="s">
        <v>59</v>
      </c>
      <c r="D40" s="78"/>
      <c r="E40" s="49" t="s">
        <v>60</v>
      </c>
      <c r="F40" s="49" t="s">
        <v>14</v>
      </c>
      <c r="G40" s="79" t="s">
        <v>61</v>
      </c>
      <c r="H40" s="80"/>
      <c r="I40" s="80"/>
      <c r="J40" s="81"/>
      <c r="K40" s="49" t="s">
        <v>62</v>
      </c>
    </row>
    <row r="41" spans="1:11" ht="25">
      <c r="A41" s="10">
        <v>27</v>
      </c>
      <c r="B41" s="11" t="s">
        <v>63</v>
      </c>
      <c r="C41" s="50">
        <v>30</v>
      </c>
      <c r="D41" s="12" t="s">
        <v>64</v>
      </c>
      <c r="E41" s="20">
        <f t="shared" ref="E41:E43" si="2">$K$28</f>
        <v>48942.85</v>
      </c>
      <c r="F41" s="39" t="s">
        <v>65</v>
      </c>
      <c r="G41" s="12">
        <v>1</v>
      </c>
      <c r="H41" s="13">
        <v>1</v>
      </c>
      <c r="I41" s="13">
        <v>1</v>
      </c>
      <c r="J41" s="13">
        <v>1</v>
      </c>
      <c r="K41" s="14">
        <f t="shared" ref="K41:K44" si="3">ROUND(C41/100*E41*G41*H41*I41*J41,2)</f>
        <v>14682.86</v>
      </c>
    </row>
    <row r="42" spans="1:11" ht="25">
      <c r="A42" s="10">
        <f t="shared" ref="A42:A45" si="4">A41+1</f>
        <v>28</v>
      </c>
      <c r="B42" s="11" t="s">
        <v>66</v>
      </c>
      <c r="C42" s="50">
        <v>8</v>
      </c>
      <c r="D42" s="12" t="s">
        <v>64</v>
      </c>
      <c r="E42" s="20">
        <f t="shared" si="2"/>
        <v>48942.85</v>
      </c>
      <c r="F42" s="39" t="s">
        <v>67</v>
      </c>
      <c r="G42" s="12">
        <v>1</v>
      </c>
      <c r="H42" s="13">
        <v>1</v>
      </c>
      <c r="I42" s="13">
        <v>1</v>
      </c>
      <c r="J42" s="13">
        <v>1</v>
      </c>
      <c r="K42" s="14">
        <f t="shared" si="3"/>
        <v>3915.43</v>
      </c>
    </row>
    <row r="43" spans="1:11" ht="25">
      <c r="A43" s="10">
        <v>29</v>
      </c>
      <c r="B43" s="11" t="s">
        <v>80</v>
      </c>
      <c r="C43" s="50">
        <v>8.75</v>
      </c>
      <c r="D43" s="12" t="s">
        <v>64</v>
      </c>
      <c r="E43" s="20">
        <f t="shared" si="2"/>
        <v>48942.85</v>
      </c>
      <c r="F43" s="39" t="s">
        <v>68</v>
      </c>
      <c r="G43" s="12">
        <v>1</v>
      </c>
      <c r="H43" s="13">
        <v>1</v>
      </c>
      <c r="I43" s="13">
        <v>1</v>
      </c>
      <c r="J43" s="13">
        <v>1</v>
      </c>
      <c r="K43" s="14">
        <f t="shared" si="3"/>
        <v>4282.5</v>
      </c>
    </row>
    <row r="44" spans="1:11" ht="37.5">
      <c r="A44" s="10">
        <v>30</v>
      </c>
      <c r="B44" s="11" t="s">
        <v>78</v>
      </c>
      <c r="C44" s="50">
        <v>39.200000000000003</v>
      </c>
      <c r="D44" s="12" t="s">
        <v>64</v>
      </c>
      <c r="E44" s="20">
        <f>$K$28+K43</f>
        <v>53225.35</v>
      </c>
      <c r="F44" s="39" t="s">
        <v>79</v>
      </c>
      <c r="G44" s="12">
        <v>1</v>
      </c>
      <c r="H44" s="13">
        <v>1</v>
      </c>
      <c r="I44" s="13">
        <v>1</v>
      </c>
      <c r="J44" s="13">
        <v>1</v>
      </c>
      <c r="K44" s="14">
        <f t="shared" si="3"/>
        <v>20864.34</v>
      </c>
    </row>
    <row r="45" spans="1:11" ht="25">
      <c r="A45" s="10">
        <f t="shared" si="4"/>
        <v>31</v>
      </c>
      <c r="B45" s="11" t="s">
        <v>69</v>
      </c>
      <c r="C45" s="50">
        <v>6</v>
      </c>
      <c r="D45" s="12" t="s">
        <v>64</v>
      </c>
      <c r="E45" s="20">
        <f>$K$28+K43</f>
        <v>53225.35</v>
      </c>
      <c r="F45" s="39" t="s">
        <v>70</v>
      </c>
      <c r="G45" s="12">
        <v>2</v>
      </c>
      <c r="H45" s="13">
        <v>1</v>
      </c>
      <c r="I45" s="13">
        <v>1</v>
      </c>
      <c r="J45" s="13">
        <v>1</v>
      </c>
      <c r="K45" s="14">
        <f>K43+ROUND(C45/100*E45*G45*H45*I45*J45,2)</f>
        <v>10669.54</v>
      </c>
    </row>
    <row r="46" spans="1:11">
      <c r="A46" s="16"/>
      <c r="B46" s="17" t="s">
        <v>71</v>
      </c>
      <c r="C46" s="17"/>
      <c r="D46" s="12" t="s">
        <v>42</v>
      </c>
      <c r="E46" s="12" t="s">
        <v>42</v>
      </c>
      <c r="F46" s="12" t="s">
        <v>42</v>
      </c>
      <c r="G46" s="12" t="s">
        <v>42</v>
      </c>
      <c r="H46" s="12" t="s">
        <v>42</v>
      </c>
      <c r="I46" s="12" t="s">
        <v>42</v>
      </c>
      <c r="J46" s="12" t="s">
        <v>42</v>
      </c>
      <c r="K46" s="18">
        <f>ROUND(SUM(K41:K45),2)</f>
        <v>54414.67</v>
      </c>
    </row>
    <row r="47" spans="1:11">
      <c r="A47" s="16"/>
      <c r="B47" s="17" t="s">
        <v>72</v>
      </c>
      <c r="C47" s="17"/>
      <c r="D47" s="12" t="s">
        <v>42</v>
      </c>
      <c r="E47" s="12" t="s">
        <v>42</v>
      </c>
      <c r="F47" s="41" t="s">
        <v>42</v>
      </c>
      <c r="G47" s="12" t="s">
        <v>42</v>
      </c>
      <c r="H47" s="12" t="s">
        <v>42</v>
      </c>
      <c r="I47" s="12" t="s">
        <v>42</v>
      </c>
      <c r="J47" s="12" t="s">
        <v>42</v>
      </c>
      <c r="K47" s="18">
        <f>ROUND(K28+K38+K46,2)</f>
        <v>120113.26</v>
      </c>
    </row>
    <row r="48" spans="1:11" ht="75">
      <c r="A48" s="16"/>
      <c r="B48" s="25" t="s">
        <v>73</v>
      </c>
      <c r="C48" s="25"/>
      <c r="D48" s="40" t="s">
        <v>42</v>
      </c>
      <c r="E48" s="40" t="s">
        <v>42</v>
      </c>
      <c r="F48" s="41" t="s">
        <v>81</v>
      </c>
      <c r="G48" s="40" t="s">
        <v>42</v>
      </c>
      <c r="H48" s="84">
        <v>6.87</v>
      </c>
      <c r="I48" s="40" t="s">
        <v>42</v>
      </c>
      <c r="J48" s="40" t="s">
        <v>42</v>
      </c>
      <c r="K48" s="26">
        <f>ROUND(H48*K47,2)</f>
        <v>825178.1</v>
      </c>
    </row>
    <row r="49" spans="1:11" ht="26">
      <c r="A49" s="27"/>
      <c r="B49" s="22" t="s">
        <v>74</v>
      </c>
      <c r="C49" s="22"/>
      <c r="D49" s="14"/>
      <c r="E49" s="21"/>
      <c r="F49" s="23"/>
      <c r="G49" s="14"/>
      <c r="H49" s="14">
        <v>0.995</v>
      </c>
      <c r="I49" s="14"/>
      <c r="J49" s="14"/>
      <c r="K49" s="26">
        <f>K48*H49</f>
        <v>821052.2095</v>
      </c>
    </row>
    <row r="50" spans="1:11">
      <c r="A50" s="51"/>
      <c r="B50" s="1"/>
      <c r="C50" s="1"/>
      <c r="D50" s="83"/>
      <c r="E50" s="83"/>
      <c r="F50" s="29"/>
      <c r="G50" s="52"/>
      <c r="H50" s="52"/>
      <c r="I50" s="52"/>
      <c r="J50" s="52"/>
      <c r="K50" s="53"/>
    </row>
    <row r="51" spans="1:11">
      <c r="B51" s="1"/>
      <c r="C51" s="1"/>
      <c r="D51" s="82"/>
      <c r="E51" s="82"/>
    </row>
    <row r="52" spans="1:11">
      <c r="B52" s="1"/>
      <c r="C52" s="1"/>
      <c r="D52" s="82"/>
      <c r="E52" s="82"/>
      <c r="F52" s="29"/>
    </row>
    <row r="53" spans="1:11">
      <c r="B53" s="83"/>
      <c r="C53" s="83"/>
      <c r="D53" s="83"/>
      <c r="E53" s="83"/>
      <c r="F53" s="83"/>
      <c r="G53" s="83"/>
      <c r="H53" s="83"/>
      <c r="I53" s="83"/>
      <c r="J53" s="83"/>
      <c r="K53" s="83"/>
    </row>
    <row r="54" spans="1:11">
      <c r="B54" s="2"/>
      <c r="C54" s="2"/>
      <c r="D54" s="82"/>
      <c r="E54" s="82"/>
    </row>
    <row r="55" spans="1:11">
      <c r="B55" s="1"/>
      <c r="C55" s="1"/>
      <c r="D55" s="82"/>
      <c r="E55" s="82"/>
    </row>
  </sheetData>
  <mergeCells count="31">
    <mergeCell ref="D55:E55"/>
    <mergeCell ref="D50:E50"/>
    <mergeCell ref="D51:E51"/>
    <mergeCell ref="D52:E52"/>
    <mergeCell ref="B53:K53"/>
    <mergeCell ref="D54:E54"/>
    <mergeCell ref="A18:K18"/>
    <mergeCell ref="A29:K29"/>
    <mergeCell ref="A39:K39"/>
    <mergeCell ref="C40:D40"/>
    <mergeCell ref="G40:J40"/>
    <mergeCell ref="A11:C11"/>
    <mergeCell ref="D11:K11"/>
    <mergeCell ref="A13:C13"/>
    <mergeCell ref="D13:K13"/>
    <mergeCell ref="A15:A16"/>
    <mergeCell ref="B15:B16"/>
    <mergeCell ref="C15:C16"/>
    <mergeCell ref="D15:D16"/>
    <mergeCell ref="E15:E16"/>
    <mergeCell ref="F15:F16"/>
    <mergeCell ref="G15:G16"/>
    <mergeCell ref="H15:J15"/>
    <mergeCell ref="K15:K16"/>
    <mergeCell ref="A9:C9"/>
    <mergeCell ref="D9:K9"/>
    <mergeCell ref="A2:K2"/>
    <mergeCell ref="A3:K3"/>
    <mergeCell ref="D5:H5"/>
    <mergeCell ref="A7:C7"/>
    <mergeCell ref="D7:K7"/>
  </mergeCells>
  <conditionalFormatting sqref="A19:A27">
    <cfRule type="expression" dxfId="2" priority="5" stopIfTrue="1">
      <formula>IF(#REF!="К",8,)</formula>
    </cfRule>
  </conditionalFormatting>
  <conditionalFormatting sqref="A30:A37">
    <cfRule type="expression" dxfId="1" priority="1" stopIfTrue="1">
      <formula>IF(#REF!="К",8,)</formula>
    </cfRule>
  </conditionalFormatting>
  <conditionalFormatting sqref="A41:A45">
    <cfRule type="expression" dxfId="0" priority="3" stopIfTrue="1">
      <formula>IF(#REF!="К",8,)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096E8E7D588B24DAD98C2C685E53EFD" ma:contentTypeVersion="2" ma:contentTypeDescription="Создание документа." ma:contentTypeScope="" ma:versionID="4ccedb00303714f951193572c693cfb2">
  <xsd:schema xmlns:xsd="http://www.w3.org/2001/XMLSchema" xmlns:xs="http://www.w3.org/2001/XMLSchema" xmlns:p="http://schemas.microsoft.com/office/2006/metadata/properties" xmlns:ns2="370bd1f5-a59b-4c7c-bb46-3e525e5c7006" targetNamespace="http://schemas.microsoft.com/office/2006/metadata/properties" ma:root="true" ma:fieldsID="12a6924087d3c725f594e3bf0e64f691" ns2:_="">
    <xsd:import namespace="370bd1f5-a59b-4c7c-bb46-3e525e5c700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bd1f5-a59b-4c7c-bb46-3e525e5c70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14C485-BE0E-4BC9-A2C0-389BA4B8E9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4EA3B4-E402-46AA-9F18-2E007DFB3CA6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370bd1f5-a59b-4c7c-bb46-3e525e5c7006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1C000C8-AF3B-457B-99BF-CB7B648F37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0bd1f5-a59b-4c7c-bb46-3e525e5c70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Смета №1 ИГДИ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Смиркин Антон Владимирович</dc:creator>
  <cp:lastModifiedBy>Ксения Кузнецова</cp:lastModifiedBy>
  <cp:lastPrinted>2024-05-06T11:29:00Z</cp:lastPrinted>
  <dcterms:created xsi:type="dcterms:W3CDTF">2018-03-21T14:58:54Z</dcterms:created>
  <dcterms:modified xsi:type="dcterms:W3CDTF">2026-02-04T05:10:51Z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0x0101000096E8E7D588B24DAD98C2C685E53EFD</vt:lpwstr>
  </property>
</Properties>
</file>